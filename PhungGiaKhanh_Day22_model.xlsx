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57b31885424017" /></Relationships>
</file>

<file path=xl/workbook.xml><?xml version="1.0" encoding="utf-8"?>
<x:workbook xmlns:x="http://schemas.openxmlformats.org/spreadsheetml/2006/main">
  <x:sheets>
    <x:sheet xmlns:r="http://schemas.openxmlformats.org/officeDocument/2006/relationships" name="0_README" sheetId="1" r:id="Re1d824cd7e384a7b"/>
    <x:sheet xmlns:r="http://schemas.openxmlformats.org/officeDocument/2006/relationships" name="1_Cost_Job" sheetId="2" r:id="R6716192ad41249d6"/>
    <x:sheet xmlns:r="http://schemas.openxmlformats.org/officeDocument/2006/relationships" name="2_Pricing" sheetId="3" r:id="R79e7ed8b9cb944e4"/>
    <x:sheet xmlns:r="http://schemas.openxmlformats.org/officeDocument/2006/relationships" name="3_Value_Metric" sheetId="4" r:id="Reed7f4260ff14439"/>
    <x:sheet xmlns:r="http://schemas.openxmlformats.org/officeDocument/2006/relationships" name="4_Channel_Fit" sheetId="5" r:id="R976a34a41d244438"/>
    <x:sheet xmlns:r="http://schemas.openxmlformats.org/officeDocument/2006/relationships" name="5_90Day_Plan" sheetId="6" r:id="Rcb44f75163b34354"/>
    <x:sheet xmlns:r="http://schemas.openxmlformats.org/officeDocument/2006/relationships" name="6_Benchmarks" sheetId="7" r:id="R203076ad099f4f0b"/>
  </x:sheets>
</x:workbook>
</file>

<file path=xl/comments1.xml><?xml version="1.0" encoding="utf-8"?>
<x:comments xmlns:x="http://schemas.openxmlformats.org/spreadsheetml/2006/main">
  <x:authors>
    <x:author/>
  </x:authors>
  <x:commentList>
    <x:comment ref="B5" authorId="0">
      <x:text>
        <x:r>
          <x:t>======
ID#AAACIQEOV6c
Unknown Author    (2026-10-08 02:20:56)
Ví dụ mẫu đang điền sẵn — thay bằng sản phẩm của bạn.</x:t>
        </x:r>
      </x:text>
    </x:comment>
  </x:commentList>
</x:comments>
</file>

<file path=xl/sharedStrings.xml><?xml version="1.0" encoding="utf-8"?>
<x:sst xmlns:x="http://schemas.openxmlformats.org/spreadsheetml/2006/main">
  <x:si>
    <x:t xml:space="preserve">DAY 28 — MONETIZATION MODEL</x:t>
  </x:si>
  <x:si>
    <x:t xml:space="preserve">AI Pricing · GTM · Evidence — AI-IN-ACTION Track 1</x:t>
  </x:si>
  <x:si>
    <x:t xml:space="preserve">QUY ƯỚC MÀU — CHỈ ĐIỀN VÀO Ô MÀU VÀNG</x:t>
  </x:si>
  <x:si>
    <x:t xml:space="preserve">Ô VÀNG, chữ xanh dương</x:t>
  </x:si>
  <x:si>
    <x:t xml:space="preserve">Ô bạn phải điền</x:t>
  </x:si>
  <x:si>
    <x:t xml:space="preserve">Ô XÁM, chữ đen</x:t>
  </x:si>
  <x:si>
    <x:t xml:space="preserve">Công thức tự tính — KHÔNG SỬA</x:t>
  </x:si>
  <x:si>
    <x:t xml:space="preserve">Chữ xanh lá</x:t>
  </x:si>
  <x:si>
    <x:t xml:space="preserve">Link sang tab khác</x:t>
  </x:si>
  <x:si>
    <x:t xml:space="preserve">Ô XÁM đậm nhạt</x:t>
  </x:si>
  <x:si>
    <x:t xml:space="preserve">Bảng tham chiếu, chỉ đọc</x:t>
  </x:si>
  <x:si>
    <x:t xml:space="preserve">THỨ TỰ LÀM — 6 TRẠM, 120 PHÚT</x:t>
  </x:si>
  <x:si>
    <x:t xml:space="preserve">Trạm 1 · 15'</x:t>
  </x:si>
  <x:si>
    <x:t xml:space="preserve">Ngân sách khách &amp; định nghĩa Job → điền S1–S2 của tab 1_Cost_Job</x:t>
  </x:si>
  <x:si>
    <x:t xml:space="preserve">Trạm 2 · 20'</x:t>
  </x:si>
  <x:si>
    <x:t xml:space="preserve">Value Metric → tab 3_Value_Metric</x:t>
  </x:si>
  <x:si>
    <x:t xml:space="preserve">Trạm 3 · 30'</x:t>
  </x:si>
  <x:si>
    <x:t xml:space="preserve">Cost/Job, giá sàn &amp; giá trần → tab 1_Cost_Job (S3–S8) rồi 2_Pricing</x:t>
  </x:si>
  <x:si>
    <x:t xml:space="preserve">Trạm 4 · 20'</x:t>
  </x:si>
  <x:si>
    <x:t xml:space="preserve">Kênh phân phối &amp; Affordability Test → tab 4_Channel_Fit</x:t>
  </x:si>
  <x:si>
    <x:t xml:space="preserve">Trạm 5 · 15'</x:t>
  </x:si>
  <x:si>
    <x:t xml:space="preserve">Pain Moment &amp; 90-Day Plan → tab 5_90Day_Plan</x:t>
  </x:si>
  <x:si>
    <x:t xml:space="preserve">Trạm 6 · 20'</x:t>
  </x:si>
  <x:si>
    <x:t xml:space="preserve">Evidence Pack &amp; ráp One-Pager → tab 5_90Day_Plan + file .docx</x:t>
  </x:si>
  <x:si>
    <x:t xml:space="preserve">3 QUY TẮC KHÔNG ĐƯỢC PHÁ</x:t>
  </x:si>
  <x:si>
    <x:t xml:space="preserve">1. Chia cho số job HOÀN THÀNH, không phải số job đã thử.</x:t>
  </x:si>
  <x:si>
    <x:t xml:space="preserve">2. HITL và Retry không được để 0 nếu không có lý do viết ra được.</x:t>
  </x:si>
  <x:si>
    <x:t xml:space="preserve">3. Mọi con số giá API phải có NGÀY kiểm tra (xem tab 6_Benchmarks).</x:t>
  </x:si>
  <x:si>
    <x:t xml:space="preserve">Giá tham chiếu trong workbook này được chốt ngày 26/08/2026. Nhiều mức giá là KHUYẾN MẠI CÓ HẠN.</x:t>
  </x:si>
  <x:si>
    <x:t xml:space="preserve">Bạn PHẢI tự mở lại trang giá của nhà cung cấp và cập nhật — đây là một phần của bài tập.</x:t>
  </x:si>
  <x:si>
    <x:t xml:space="preserve">TAB 1 — COST/JOB CALCULATOR</x:t>
  </x:si>
  <x:si>
    <x:t xml:space="preserve">Trạm 1 (S1–S2) và Trạm 3 (S3–S8). Chỉ điền ô vàng.</x:t>
  </x:si>
  <x:si>
    <x:t xml:space="preserve">S1. ĐỊNH NGHĨA JOB</x:t>
  </x:si>
  <x:si>
    <x:t xml:space="preserve">1 job của bạn là gì?</x:t>
  </x:si>
  <x:si>
    <x:t xml:space="preserve">Phải là thứ KHÁCH coi là giá trị — không phải '1 request'</x:t>
  </x:si>
  <x:si>
    <x:t xml:space="preserve">Biến thể HITL: A hay B?</x:t>
  </x:si>
  <x:si>
    <x:t xml:space="preserve">A = khách tự xử lý ca escalate · B = BẠN chịu (outcome/managed)</x:t>
  </x:si>
  <x:si>
    <x:t xml:space="preserve">S2. KHỐI LƯỢNG</x:t>
  </x:si>
  <x:si>
    <x:t xml:space="preserve">Số job THỬ / tháng</x:t>
  </x:si>
  <x:si>
    <x:t xml:space="preserve">job</x:t>
  </x:si>
  <x:si>
    <x:t xml:space="preserve">Containment rate (AI tự làm xong)</x:t>
  </x:si>
  <x:si>
    <x:t xml:space="preserve">Chưa đo → ước tính và ghi rõ</x:t>
  </x:si>
  <x:si>
    <x:t xml:space="preserve">→ Số job HOÀN THÀNH / tháng</x:t>
  </x:si>
  <x:si>
    <x:t xml:space="preserve">MẪU SỐ của Cost/Job</x:t>
  </x:si>
  <x:si>
    <x:t xml:space="preserve">→ Số job KHÔNG xong / tháng</x:t>
  </x:si>
  <x:si>
    <x:t xml:space="preserve">Số ca phải escalate</x:t>
  </x:si>
  <x:si>
    <x:t xml:space="preserve">S3. API — LLM</x:t>
  </x:si>
  <x:si>
    <x:t xml:space="preserve">Giá input ($ / 1M token)</x:t>
  </x:si>
  <x:si>
    <x:t xml:space="preserve">Claude Haiku 4.5 — xem tab 6_Benchmarks</x:t>
  </x:si>
  <x:si>
    <x:t xml:space="preserve">Giá output ($ / 1M token)</x:t>
  </x:si>
  <x:si>
    <x:t xml:space="preserve">Giá cache WRITE ($ / 1M token)</x:t>
  </x:si>
  <x:si>
    <x:t xml:space="preserve">Anthropic 5-phút = 1,25× input</x:t>
  </x:si>
  <x:si>
    <x:t xml:space="preserve">Giá cache READ ($ / 1M token)</x:t>
  </x:si>
  <x:si>
    <x:t xml:space="preserve">≈ 0,1× input (giảm 90%)</x:t>
  </x:si>
  <x:si>
    <x:t xml:space="preserve">Số lượt (turns) / job</x:t>
  </x:si>
  <x:si>
    <x:t xml:space="preserve">lượt</x:t>
  </x:si>
  <x:si>
    <x:t xml:space="preserve">Token input CACHE ĐƯỢC / lượt</x:t>
  </x:si>
  <x:si>
    <x:t xml:space="preserve">token</x:t>
  </x:si>
  <x:si>
    <x:t xml:space="preserve">System prompt + KB + few-shot</x:t>
  </x:si>
  <x:si>
    <x:t xml:space="preserve">Token input FRESH / lượt</x:t>
  </x:si>
  <x:si>
    <x:t xml:space="preserve">Câu hỏi khách + dữ liệu động</x:t>
  </x:si>
  <x:si>
    <x:t xml:space="preserve">Token output / lượt</x:t>
  </x:si>
  <x:si>
    <x:t xml:space="preserve">→ Cache write / job</x:t>
  </x:si>
  <x:si>
    <x:t xml:space="preserve">→ Cache read / job</x:t>
  </x:si>
  <x:si>
    <x:t xml:space="preserve">→ Input fresh / job</x:t>
  </x:si>
  <x:si>
    <x:t xml:space="preserve">→ Output / job</x:t>
  </x:si>
  <x:si>
    <x:t xml:space="preserve">→ LLM / job — CÓ prompt caching</x:t>
  </x:si>
  <x:si>
    <x:t xml:space="preserve">→ LLM / job — KHÔNG cache</x:t>
  </x:si>
  <x:si>
    <x:t xml:space="preserve">→ % tiết kiệm nhờ caching</x:t>
  </x:si>
  <x:si>
    <x:t xml:space="preserve">Đòn bẩy rẻ nhất bạn có</x:t>
  </x:si>
  <x:si>
    <x:t xml:space="preserve">Dùng Batch API? (1 = có, 0 = không)</x:t>
  </x:si>
  <x:si>
    <x:t xml:space="preserve">Batch giảm 50% — chỉ khi job KHÔNG cần realtime</x:t>
  </x:si>
  <x:si>
    <x:t xml:space="preserve">→ LLM / job sau Batch</x:t>
  </x:si>
  <x:si>
    <x:t xml:space="preserve">S4. API — SPEECH (để 0 nếu sản phẩm không có thoại)</x:t>
  </x:si>
  <x:si>
    <x:t xml:space="preserve">Giá STT ($ / phút)</x:t>
  </x:si>
  <x:si>
    <x:t xml:space="preserve">Deepgram streaming list $0,0077/phút</x:t>
  </x:si>
  <x:si>
    <x:t xml:space="preserve">Số phút audio / job</x:t>
  </x:si>
  <x:si>
    <x:t xml:space="preserve">phút</x:t>
  </x:si>
  <x:si>
    <x:t xml:space="preserve">Giá TTS ($ / 1M ký tự)</x:t>
  </x:si>
  <x:si>
    <x:t xml:space="preserve">ElevenLabs Flash $50 · Google Standard $4</x:t>
  </x:si>
  <x:si>
    <x:t xml:space="preserve">Số ký tự TTS / job</x:t>
  </x:si>
  <x:si>
    <x:t xml:space="preserve">ký tự</x:t>
  </x:si>
  <x:si>
    <x:t xml:space="preserve">≈ 900 ký tự cho mỗi phút bot nói</x:t>
  </x:si>
  <x:si>
    <x:t xml:space="preserve">→ Speech / job</x:t>
  </x:si>
  <x:si>
    <x:t xml:space="preserve">S5. INFRA</x:t>
  </x:si>
  <x:si>
    <x:t xml:space="preserve">Infra / job ($)</x:t>
  </x:si>
  <x:si>
    <x:t xml:space="preserve">Vector DB, embedding, storage, logging</x:t>
  </x:si>
  <x:si>
    <x:t xml:space="preserve">Telephony ($ / phút)</x:t>
  </x:si>
  <x:si>
    <x:t xml:space="preserve">→ Infra / job</x:t>
  </x:si>
  <x:si>
    <x:t xml:space="preserve">S6. RETRY</x:t>
  </x:si>
  <x:si>
    <x:t xml:space="preserve">Tỷ lệ job phải chạy lại</x:t>
  </x:si>
  <x:si>
    <x:t xml:space="preserve">ĐỪNG để 0%. Thực tế 5–10% là bình thường</x:t>
  </x:si>
  <x:si>
    <x:t xml:space="preserve">→ Retry / job</x:t>
  </x:si>
  <x:si>
    <x:t xml:space="preserve">S7. HITL — người trong vòng lặp</x:t>
  </x:si>
  <x:si>
    <x:t xml:space="preserve">Chi phí nhân sự ($ / giờ, fully-loaded)</x:t>
  </x:si>
  <x:si>
    <x:t xml:space="preserve">Gồm lương + bảo hiểm + quản lý + chỗ ngồi</x:t>
  </x:si>
  <x:si>
    <x:t xml:space="preserve">% hội thoại QA nội bộ</x:t>
  </x:si>
  <x:si>
    <x:t xml:space="preserve">Luôn có, kể cả Biến thể A</x:t>
  </x:si>
  <x:si>
    <x:t xml:space="preserve">Số phút QA / ca</x:t>
  </x:si>
  <x:si>
    <x:t xml:space="preserve">Số phút xử lý 1 ca escalate</x:t>
  </x:si>
  <x:si>
    <x:t xml:space="preserve">→ QA nội bộ / tháng</x:t>
  </x:si>
  <x:si>
    <x:t xml:space="preserve">→ Escalation / tháng (chỉ Biến thể B)</x:t>
  </x:si>
  <x:si>
    <x:t xml:space="preserve">Biến thể A → 0 vì khách tự chịu</x:t>
  </x:si>
  <x:si>
    <x:t xml:space="preserve">→ Tổng HITL / tháng</x:t>
  </x:si>
  <x:si>
    <x:t xml:space="preserve">S8. OVERHEAD (tuỳ chọn)</x:t>
  </x:si>
  <x:si>
    <x:t xml:space="preserve">R&amp;D + Sales phân bổ / tháng ($)</x:t>
  </x:si>
  <x:si>
    <x:t xml:space="preserve">Để 0 nếu chỉ muốn xem Cost/Job thuần COGS</x:t>
  </x:si>
  <x:si>
    <x:t xml:space="preserve">KẾT QUẢ</x:t>
  </x:si>
  <x:si>
    <x:t xml:space="preserve">Chi phí biến đổi / tháng (API + Speech + Infra + Retry)</x:t>
  </x:si>
  <x:si>
    <x:t xml:space="preserve">HITL / tháng</x:t>
  </x:si>
  <x:si>
    <x:t xml:space="preserve">Overhead / tháng</x:t>
  </x:si>
  <x:si>
    <x:t xml:space="preserve">TỔNG CHI PHÍ / tháng</x:t>
  </x:si>
  <x:si>
    <x:t xml:space="preserve">★ COST/JOB (chưa overhead)</x:t>
  </x:si>
  <x:si>
    <x:t xml:space="preserve">$/job</x:t>
  </x:si>
  <x:si>
    <x:t xml:space="preserve">Con số chảy sang tab 2_Pricing</x:t>
  </x:si>
  <x:si>
    <x:t xml:space="preserve">★ COST/JOB (có overhead)</x:t>
  </x:si>
  <x:si>
    <x:t xml:space="preserve">Tỷ giá (₫ / USD) — giả định</x:t>
  </x:si>
  <x:si>
    <x:t xml:space="preserve">₫/USD</x:t>
  </x:si>
  <x:si>
    <x:t xml:space="preserve">Thay bằng tỷ giá thực tế khi làm bài</x:t>
  </x:si>
  <x:si>
    <x:t xml:space="preserve">→ Cost/Job quy đổi</x:t>
  </x:si>
  <x:si>
    <x:t xml:space="preserve">₫/job</x:t>
  </x:si>
  <x:si>
    <x:t xml:space="preserve">THÀNH PHẦN NÀO ĂN NHIỀU NHẤT? (kiểm tra nhanh)</x:t>
  </x:si>
  <x:si>
    <x:t xml:space="preserve">LLM</x:t>
  </x:si>
  <x:si>
    <x:t xml:space="preserve">Speech</x:t>
  </x:si>
  <x:si>
    <x:t xml:space="preserve">Infra</x:t>
  </x:si>
  <x:si>
    <x:t xml:space="preserve">Retry</x:t>
  </x:si>
  <x:si>
    <x:t xml:space="preserve">HITL</x:t>
  </x:si>
  <x:si>
    <x:t xml:space="preserve">Overhead</x:t>
  </x:si>
  <x:si>
    <x:t xml:space="preserve">Nếu LLM chiếm &gt;80% thì gần như chắc chắn bạn đang thiếu chi phí ở S5–S7.</x:t>
  </x:si>
  <x:si>
    <x:t xml:space="preserve">TAB 2 — PRICING SANITY CHECK</x:t>
  </x:si>
  <x:si>
    <x:t xml:space="preserve">Trạm 3. Cost/Job tự lấy từ tab 1. Bạn điền giá bán và các con số neo giá.</x:t>
  </x:si>
  <x:si>
    <x:t xml:space="preserve">GIÁ SÀN</x:t>
  </x:si>
  <x:si>
    <x:t xml:space="preserve">Cost/Job (từ tab 1_Cost_Job)</x:t>
  </x:si>
  <x:si>
    <x:t xml:space="preserve">Hệ số an toàn tối thiểu</x:t>
  </x:si>
  <x:si>
    <x:t xml:space="preserve">×</x:t>
  </x:si>
  <x:si>
    <x:t xml:space="preserve">Giá bán ≥ 3 × Cost/Job</x:t>
  </x:si>
  <x:si>
    <x:t xml:space="preserve">→ GIÁ SÀN</x:t>
  </x:si>
  <x:si>
    <x:t xml:space="preserve">GIÁ TRẦN — NEO THEO THỨ KHÁCH ĐANG CHI</x:t>
  </x:si>
  <x:si>
    <x:t xml:space="preserve">Giá trị khách tiết kiệm được / tháng ($)</x:t>
  </x:si>
  <x:si>
    <x:t xml:space="preserve">Neo theo giá trị</x:t>
  </x:si>
  <x:si>
    <x:t xml:space="preserve">Số job / tháng của 1 khách</x:t>
  </x:si>
  <x:si>
    <x:t xml:space="preserve">→ Trần theo giá trị — mức 10%</x:t>
  </x:si>
  <x:si>
    <x:t xml:space="preserve">→ Trần theo giá trị — mức 25%</x:t>
  </x:si>
  <x:si>
    <x:t xml:space="preserve">Lương / tháng của vị trí bị thay ($)</x:t>
  </x:si>
  <x:si>
    <x:t xml:space="preserve">Neo theo nhân công</x:t>
  </x:si>
  <x:si>
    <x:t xml:space="preserve">→ Trần theo nhân công — mức 50%</x:t>
  </x:si>
  <x:si>
    <x:t xml:space="preserve">→ Trần theo nhân công — mức 70%</x:t>
  </x:si>
  <x:si>
    <x:t xml:space="preserve">GIÁ BÁN CỦA BẠN</x:t>
  </x:si>
  <x:si>
    <x:t xml:space="preserve">★ Giá bán đề xuất ($ / job)</x:t>
  </x:si>
  <x:si>
    <x:t xml:space="preserve">Tham chiếu: Intercom Fin $0,99 · Zendesk $1,50</x:t>
  </x:si>
  <x:si>
    <x:t xml:space="preserve">→ Bội số so với Cost/Job</x:t>
  </x:si>
  <x:si>
    <x:t xml:space="preserve">→ GROSS MARGIN</x:t>
  </x:si>
  <x:si>
    <x:t xml:space="preserve">→ Đèn: bội số ≥ 3?</x:t>
  </x:si>
  <x:si>
    <x:t xml:space="preserve">→ Đèn: Gross Margin</x:t>
  </x:si>
  <x:si>
    <x:t xml:space="preserve">→ Đèn: GM có cao bất thường?</x:t>
  </x:si>
  <x:si>
    <x:t xml:space="preserve">→ Giá bán nằm trong vùng neo?</x:t>
  </x:si>
  <x:si>
    <x:t xml:space="preserve">BREAKEVEN CONTAINMENT — ngưỡng sống còn</x:t>
  </x:si>
  <x:si>
    <x:t xml:space="preserve">Ký hiệu: v = chi phí biến đổi / job thử · q = QA / job thử · e = chi phí 1 ca escalate</x:t>
  </x:si>
  <x:si>
    <x:t xml:space="preserve">v — chi phí biến đổi / job thử</x:t>
  </x:si>
  <x:si>
    <x:t xml:space="preserve">q — QA nội bộ / job thử</x:t>
  </x:si>
  <x:si>
    <x:t xml:space="preserve">e — chi phí 1 ca escalate</x:t>
  </x:si>
  <x:si>
    <x:t xml:space="preserve">Gross Margin mục tiêu</x:t>
  </x:si>
  <x:si>
    <x:t xml:space="preserve">★ Containment tối thiểu cần đạt</x:t>
  </x:si>
  <x:si>
    <x:t xml:space="preserve">Công thức: R ≥ (v+q+e) / (P×(1−GM)+e)</x:t>
  </x:si>
  <x:si>
    <x:t xml:space="preserve">Containment hiện tại (từ tab 1)</x:t>
  </x:si>
  <x:si>
    <x:t xml:space="preserve">→ Kết luận</x:t>
  </x:si>
  <x:si>
    <x:t xml:space="preserve">SENSITIVITY — mô hình gãy ở đâu?</x:t>
  </x:si>
  <x:si>
    <x:t xml:space="preserve">Containment</x:t>
  </x:si>
  <x:si>
    <x:t xml:space="preserve">Cost/Job</x:t>
  </x:si>
  <x:si>
    <x:t xml:space="preserve">Gross Margin</x:t>
  </x:si>
  <x:si>
    <x:t xml:space="preserve">Đánh giá</x:t>
  </x:si>
  <x:si>
    <x:t xml:space="preserve">Nhìn cột Gross Margin: mô hình của bạn mong manh đến mức nào khi AI làm sai nhiều hơn dự kiến?</x:t>
  </x:si>
  <x:si>
    <x:t xml:space="preserve">5 CON SỐ PHẢI MANG SANG ONE-PAGER</x:t>
  </x:si>
  <x:si>
    <x:t xml:space="preserve">Giá sàn (3×)</x:t>
  </x:si>
  <x:si>
    <x:t xml:space="preserve">Giá bán đề xuất</x:t>
  </x:si>
  <x:si>
    <x:t xml:space="preserve">Breakeven containment</x:t>
  </x:si>
  <x:si>
    <x:t xml:space="preserve">TAB 3 — VALUE METRIC SCORECARD</x:t>
  </x:si>
  <x:si>
    <x:t xml:space="preserve">Trạm 2. Chấm 0 / 1 / 2 điểm cho mỗi câu, theo THỰC TẾ HÔM NAY.</x:t>
  </x:si>
  <x:si>
    <x:t xml:space="preserve">A. ATTRIBUTION — bạn đo được kết quả là do AI tạo ra không?</x:t>
  </x:si>
  <x:si>
    <x:t xml:space="preserve">1. Tôi có log đầy đủ mỗi job AI xử lý, gắn được với kết quả cuối cùng</x:t>
  </x:si>
  <x:si>
    <x:t xml:space="preserve">2. Tôi có bộ eval đo được tỷ lệ AI làm đúng, có số liệu</x:t>
  </x:si>
  <x:si>
    <x:t xml:space="preserve">3. Khách hàng đồng ý với cách tôi định nghĩa 'thành công' của một job</x:t>
  </x:si>
  <x:si>
    <x:t xml:space="preserve">4. Tôi phân biệt được kết quả do AI tạo ra với kết quả do yếu tố khác</x:t>
  </x:si>
  <x:si>
    <x:t xml:space="preserve">5. Tôi viết được định nghĩa chặt như Intercom: cái gì tính tiền, cái gì không</x:t>
  </x:si>
  <x:si>
    <x:t xml:space="preserve">→ ĐIỂM ATTRIBUTION (tối đa 10)</x:t>
  </x:si>
  <x:si>
    <x:t xml:space="preserve">B. AUTONOMY — AI tự chạy hay cần người?</x:t>
  </x:si>
  <x:si>
    <x:t xml:space="preserve">1. AI hoàn thành job từ đầu đến cuối, không cần người bấm nút giữa chừng</x:t>
  </x:si>
  <x:si>
    <x:t xml:space="preserve">2. Job chạy được ngoài giờ hành chính mà không ai trực</x:t>
  </x:si>
  <x:si>
    <x:t xml:space="preserve">3. Khi AI không chắc, nó tự chuyển tiếp đúng chỗ — không cần người phân loại</x:t>
  </x:si>
  <x:si>
    <x:t xml:space="preserve">4. Tỷ lệ ca phải có người can thiệp dưới 20%</x:t>
  </x:si>
  <x:si>
    <x:t xml:space="preserve">5. Người vận hành chỉ kiểm tra mẫu (QA), không xử lý từng ca</x:t>
  </x:si>
  <x:si>
    <x:t xml:space="preserve">→ ĐIỂM AUTONOMY (tối đa 10)</x:t>
  </x:si>
  <x:si>
    <x:t xml:space="preserve">GỢI Ý CỦA MODEL</x:t>
  </x:si>
  <x:si>
    <x:t xml:space="preserve">→ Value Metric gợi ý</x:t>
  </x:si>
  <x:si>
    <x:t xml:space="preserve">Ngưỡng 7/10 là quy ước của bài tập, không phải chuẩn ngành — dùng để buộc bạn ra quyết định, không phải để thay bạn quyết định.</x:t>
  </x:si>
  <x:si>
    <x:t xml:space="preserve">BENCHMARK NGƯỢC — 2 sản phẩm thật cùng loại job</x:t>
  </x:si>
  <x:si>
    <x:t xml:space="preserve">Tên sản phẩm</x:t>
  </x:si>
  <x:si>
    <x:t xml:space="preserve">Value Metric</x:t>
  </x:si>
  <x:si>
    <x:t xml:space="preserve">Giá công bố</x:t>
  </x:si>
  <x:si>
    <x:t xml:space="preserve">Link nguồn</x:t>
  </x:si>
  <x:si>
    <x:t xml:space="preserve">QUYẾT ĐỊNH CUỐI</x:t>
  </x:si>
  <x:si>
    <x:t xml:space="preserve">Value Metric tôi chọn</x:t>
  </x:si>
  <x:si>
    <x:t xml:space="preserve">Nếu KHÁC gợi ý — lý do thị trường là gì?</x:t>
  </x:si>
  <x:si>
    <x:t xml:space="preserve">Decision Note — câu 1: tôi chọn đơn vị nào?</x:t>
  </x:si>
  <x:si>
    <x:t xml:space="preserve">Decision Note — câu 2: bằng chứng Attribution / Autonomy?</x:t>
  </x:si>
  <x:si>
    <x:t xml:space="preserve">Decision Note — câu 3: mô hình này lỗ trong tình huống nào?</x:t>
  </x:si>
  <x:si>
    <x:t xml:space="preserve">TAB 4 — CHANNEL FIT &amp; AFFORDABILITY TEST</x:t>
  </x:si>
  <x:si>
    <x:t xml:space="preserve">Trạm 4. Chọn ĐÚNG 1 kênh cho 90 ngày đầu — và chứng minh bằng số.</x:t>
  </x:si>
  <x:si>
    <x:t xml:space="preserve">A. NGÂN SÁCH CAC — bạn nuôi nổi kênh nào?</x:t>
  </x:si>
  <x:si>
    <x:t xml:space="preserve">ARPU / tháng ($)</x:t>
  </x:si>
  <x:si>
    <x:t xml:space="preserve">Gross Margin (từ tab 2_Pricing)</x:t>
  </x:si>
  <x:si>
    <x:t xml:space="preserve">Phân khúc (SMB / Mid / Enterprise)</x:t>
  </x:si>
  <x:si>
    <x:t xml:space="preserve">→ CAC payback cho phép (tháng)</x:t>
  </x:si>
  <x:si>
    <x:t xml:space="preserve">tháng</x:t>
  </x:si>
  <x:si>
    <x:t xml:space="preserve">Bessemer, Scaling to $100M (2024)</x:t>
  </x:si>
  <x:si>
    <x:t xml:space="preserve">★ NGÂN SÁCH CAC / khách</x:t>
  </x:si>
  <x:si>
    <x:t xml:space="preserve">ARPU × GM × số tháng payback</x:t>
  </x:si>
  <x:si>
    <x:t xml:space="preserve">→ ACV (giá trị hợp đồng / năm)</x:t>
  </x:si>
  <x:si>
    <x:t xml:space="preserve">B. SALES VIABILITY — một AE phải chốt bao nhiêu deal?</x:t>
  </x:si>
  <x:si>
    <x:t xml:space="preserve">Quota / AE / năm ($)</x:t>
  </x:si>
  <x:si>
    <x:t xml:space="preserve">Giả định gốc của Tunguz (2016) — thay bằng số thị trường bạn</x:t>
  </x:si>
  <x:si>
    <x:t xml:space="preserve">Số ngày làm việc / năm</x:t>
  </x:si>
  <x:si>
    <x:t xml:space="preserve">ngày</x:t>
  </x:si>
  <x:si>
    <x:t xml:space="preserve">→ Số deal / AE / năm</x:t>
  </x:si>
  <x:si>
    <x:t xml:space="preserve">★ Số deal / AE / NGÀY</x:t>
  </x:si>
  <x:si>
    <x:t xml:space="preserve">deal/ngày</x:t>
  </x:si>
  <x:si>
    <x:t xml:space="preserve">→ Kết luận Sales-Led</x:t>
  </x:si>
  <x:si>
    <x:t xml:space="preserve">C. ĐỐI CHIẾU CAC THỰC TẾ CỦA MOTION CÓ SALES</x:t>
  </x:si>
  <x:si>
    <x:t xml:space="preserve">Cost per opportunity ($)</x:t>
  </x:si>
  <x:si>
    <x:t xml:space="preserve">ICONIQ 2026 theo phân khúc: $6.300 · $8.000 · $11.200</x:t>
  </x:si>
  <x:si>
    <x:t xml:space="preserve">Win rate</x:t>
  </x:si>
  <x:si>
    <x:t xml:space="preserve">→ CAC thực tế ước tính / khách</x:t>
  </x:si>
  <x:si>
    <x:t xml:space="preserve">★ Lệch bao nhiêu lần so với ngân sách CAC?</x:t>
  </x:si>
  <x:si>
    <x:t xml:space="preserve">Đây là bằng chứng chọn kênh của bạn</x:t>
  </x:si>
  <x:si>
    <x:t xml:space="preserve">D. CHẤM ĐIỂM 3 KÊNH (1 = rất kém, 5 = rất tốt)</x:t>
  </x:si>
  <x:si>
    <x:t xml:space="preserve">Tiêu chí</x:t>
  </x:si>
  <x:si>
    <x:t xml:space="preserve">PLG</x:t>
  </x:si>
  <x:si>
    <x:t xml:space="preserve">Sales-Led</x:t>
  </x:si>
  <x:si>
    <x:t xml:space="preserve">Partner-Led</x:t>
  </x:si>
  <x:si>
    <x:t xml:space="preserve">1. Ngân sách CAC của tôi nuôi nổi kênh này</x:t>
  </x:si>
  <x:si>
    <x:t xml:space="preserve">2. Khách hàng mục tiêu thực sự mua theo cách này</x:t>
  </x:si>
  <x:si>
    <x:t xml:space="preserve">3. Đội hiện tại có năng lực chạy kênh này ngay</x:t>
  </x:si>
  <x:si>
    <x:t xml:space="preserve">4. Tôi tiếp cận được điểm nhúng / partner trong 30 ngày</x:t>
  </x:si>
  <x:si>
    <x:t xml:space="preserve">5. Kênh này đưa tôi đến ĐÚNG Pain Moment</x:t>
  </x:si>
  <x:si>
    <x:t xml:space="preserve">6. Tôi đo được hiệu quả trong vòng 90 ngày</x:t>
  </x:si>
  <x:si>
    <x:t xml:space="preserve">→ TỔNG ĐIỂM</x:t>
  </x:si>
  <x:si>
    <x:t xml:space="preserve">→ Kênh điểm cao nhất</x:t>
  </x:si>
  <x:si>
    <x:t xml:space="preserve">E. CHỐT KÊNH</x:t>
  </x:si>
  <x:si>
    <x:t xml:space="preserve">★ Kênh tôi chọn cho 90 ngày đầu</x:t>
  </x:si>
  <x:si>
    <x:t xml:space="preserve">ĐÚNG 1 kênh. Chọn 2 kênh trở lên bị trừ điểm.</x:t>
  </x:si>
  <x:si>
    <x:t xml:space="preserve">Nếu Partner-Led: TÊN CÔNG TY partner</x:t>
  </x:si>
  <x:si>
    <x:t xml:space="preserve">'Các nền tảng trong ngành' = chưa có kênh</x:t>
  </x:si>
  <x:si>
    <x:t xml:space="preserve">Đã nói chuyện với họ chưa? (Rồi / Chưa)</x:t>
  </x:si>
  <x:si>
    <x:t xml:space="preserve">Bạn mang lại giá trị gì cho partner?</x:t>
  </x:si>
  <x:si>
    <x:t xml:space="preserve">Nếu rơi vào vùng không khả thi — lối thoát nào?</x:t>
  </x:si>
  <x:si>
    <x:t xml:space="preserve">Giảm giá để tự phục vụ / tăng giá + service / Partner-Led</x:t>
  </x:si>
  <x:si>
    <x:t xml:space="preserve">TAB 5 — PAIN MOMENT · 90-DAY PLAN · EVIDENCE PACK</x:t>
  </x:si>
  <x:si>
    <x:t xml:space="preserve">Trạm 5 và Trạm 6.</x:t>
  </x:si>
  <x:si>
    <x:t xml:space="preserve">A. PAIN MOMENT — phải đủ 3 phần</x:t>
  </x:si>
  <x:si>
    <x:t xml:space="preserve">MẤY GIỜ khách đau nhất?</x:t>
  </x:si>
  <x:si>
    <x:t xml:space="preserve">Lúc đó họ ĐANG LÀM GÌ?</x:t>
  </x:si>
  <x:si>
    <x:t xml:space="preserve">Họ đang DÙNG APP / KÊNH NÀO?</x:t>
  </x:si>
  <x:si>
    <x:t xml:space="preserve">→ Điểm nhúng cụ thể của bạn</x:t>
  </x:si>
  <x:si>
    <x:t xml:space="preserve">Một bề mặt tích hợp có tên, không phải 'website của chúng tôi'</x:t>
  </x:si>
  <x:si>
    <x:t xml:space="preserve">B. 90-DAY PLAN</x:t>
  </x:si>
  <x:si>
    <x:t xml:space="preserve">THÁNG 1 — Học</x:t>
  </x:si>
  <x:si>
    <x:t xml:space="preserve">THÁNG 2–3 — Đòn bẩy</x:t>
  </x:si>
  <x:si>
    <x:t xml:space="preserve">THÁNG 4+ — Mở rộng</x:t>
  </x:si>
  <x:si>
    <x:t xml:space="preserve">Kênh sử dụng</x:t>
  </x:si>
  <x:si>
    <x:t xml:space="preserve">Mục tiêu số khách</x:t>
  </x:si>
  <x:si>
    <x:t xml:space="preserve">Việc cụ thể 1</x:t>
  </x:si>
  <x:si>
    <x:t xml:space="preserve">Việc cụ thể 2</x:t>
  </x:si>
  <x:si>
    <x:t xml:space="preserve">Việc cụ thể 3</x:t>
  </x:si>
  <x:si>
    <x:t xml:space="preserve">KPI đo được</x:t>
  </x:si>
  <x:si>
    <x:t xml:space="preserve">Người chịu trách nhiệm</x:t>
  </x:si>
  <x:si>
    <x:t xml:space="preserve">Tháng 1 là giai đoạn HỌC, không phải scale. Kế hoạch 'tháng 1 lấy 200 khách ở 5 ngành' là kế hoạch chưa ai từng thử làm.</x:t>
  </x:si>
  <x:si>
    <x:t xml:space="preserve">C. EVIDENCE PACK — 3 tài sản bán hàng</x:t>
  </x:si>
  <x:si>
    <x:t xml:space="preserve">Tài sản</x:t>
  </x:si>
  <x:si>
    <x:t xml:space="preserve">Đã có? (Rồi/Chưa)</x:t>
  </x:si>
  <x:si>
    <x:t xml:space="preserve">Nội dung 1 câu — hoặc việc cần làm</x:t>
  </x:si>
  <x:si>
    <x:t xml:space="preserve">Người phụ trách · Deadline</x:t>
  </x:si>
  <x:si>
    <x:t xml:space="preserve">1. Eval Results </x:t>
  </x:si>
  <x:si>
    <x:t xml:space="preserve">2. Risk Checklist </x:t>
  </x:si>
  <x:si>
    <x:t xml:space="preserve">3. Pilot Report</x:t>
  </x:si>
  <x:si>
    <x:t xml:space="preserve">Ô nào CHƯA CÓ thì ghi deadline — đừng bỏ trống. Thành thật về khoảng trống được điểm cao hơn bịa nội dung.</x:t>
  </x:si>
  <x:si>
    <x:t xml:space="preserve">D. BÀI TEST NGƯỜI LẠ — nhóm khác đọc One-Pager trong 2 phút</x:t>
  </x:si>
  <x:si>
    <x:t xml:space="preserve">Họ trả lời được: bán gì, cho ai, tính tiền theo đơn vị nào? (Được/Không)</x:t>
  </x:si>
  <x:si>
    <x:t xml:space="preserve">Họ trả lời được: có lãi trên mỗi đơn vị không, số nào chứng minh? (Được/Không)</x:t>
  </x:si>
  <x:si>
    <x:t xml:space="preserve">Họ trả lời được: tiếp cận khách qua đâu, vì sao kênh đó? (Được/Không)</x:t>
  </x:si>
  <x:si>
    <x:t xml:space="preserve">Số câu họ phải hỏi lại (mục tiêu ≤ 3)</x:t>
  </x:si>
  <x:si>
    <x:t xml:space="preserve">TAB 6 — BENCHMARKS (CHỈ ĐỌC)</x:t>
  </x:si>
  <x:si>
    <x:t xml:space="preserve">Giá chốt ngày 26/08/2026. Dòng có ⏳ là GIÁ KHUYẾN MẠI CÓ HẠN — phải kiểm tra lại.</x:t>
  </x:si>
  <x:si>
    <x:t xml:space="preserve">NGÀY BẠN KIỂM TRA LẠI GIÁ</x:t>
  </x:si>
  <x:si>
    <x:t xml:space="preserve">Bắt buộc điền — Rubric có chấm mục này</x:t>
  </x:si>
  <x:si>
    <x:t xml:space="preserve">Nhóm</x:t>
  </x:si>
  <x:si>
    <x:t xml:space="preserve">Mục</x:t>
  </x:si>
  <x:si>
    <x:t xml:space="preserve">Giá</x:t>
  </x:si>
  <x:si>
    <x:t xml:space="preserve">Đơn vị</x:t>
  </x:si>
  <x:si>
    <x:t xml:space="preserve">Nguồn</x:t>
  </x:si>
  <x:si>
    <x:t xml:space="preserve">Claude Opus 5 — input / output</x:t>
  </x:si>
  <x:si>
    <x:t xml:space="preserve">5,00 / 25,00</x:t>
  </x:si>
  <x:si>
    <x:t xml:space="preserve">$ / 1M token</x:t>
  </x:si>
  <x:si>
    <x:t xml:space="preserve">platform.claude.com/docs/en/about-claude/pricing</x:t>
  </x:si>
  <x:si>
    <x:t xml:space="preserve">Claude Sonnet 5 — input / output</x:t>
  </x:si>
  <x:si>
    <x:t xml:space="preserve">2,00 / 10,00</x:t>
  </x:si>
  <x:si>
    <x:t xml:space="preserve">Claude Haiku 4.5 — input / output</x:t>
  </x:si>
  <x:si>
    <x:t xml:space="preserve">1,00 / 5,00</x:t>
  </x:si>
  <x:si>
    <x:t xml:space="preserve">Claude — cache write 5' / cache read</x:t>
  </x:si>
  <x:si>
    <x:t xml:space="preserve">1,25× / 0,10× input</x:t>
  </x:si>
  <x:si>
    <x:t xml:space="preserve">hệ số</x:t>
  </x:si>
  <x:si>
    <x:t xml:space="preserve">⏳ OpenAI GPT-5.6 Sol — input / output</x:t>
  </x:si>
  <x:si>
    <x:t xml:space="preserve">4,00 / 20,00</x:t>
  </x:si>
  <x:si>
    <x:t xml:space="preserve">developers.openai.com/api/docs/pricing (KM 21/08–21/11/2026; list 5,00/30,00)</x:t>
  </x:si>
  <x:si>
    <x:t xml:space="preserve">OpenAI GPT-5.6 Luna — input / output</x:t>
  </x:si>
  <x:si>
    <x:t xml:space="preserve">0,20 / 1,20</x:t>
  </x:si>
  <x:si>
    <x:t xml:space="preserve">developers.openai.com/api/docs/pricing</x:t>
  </x:si>
  <x:si>
    <x:t xml:space="preserve">OpenAI — cached input / Batch API</x:t>
  </x:si>
  <x:si>
    <x:t xml:space="preserve">10% input / −50%</x:t>
  </x:si>
  <x:si>
    <x:t xml:space="preserve">Gemini 3.1 Pro — input / output (≤200k)</x:t>
  </x:si>
  <x:si>
    <x:t xml:space="preserve">2,00 / 12,00</x:t>
  </x:si>
  <x:si>
    <x:t xml:space="preserve">ai.google.dev/gemini-api/docs/pricing</x:t>
  </x:si>
  <x:si>
    <x:t xml:space="preserve">⏳ Gemini 3.7 Flash — input / output</x:t>
  </x:si>
  <x:si>
    <x:t xml:space="preserve">0,75 / 3,75</x:t>
  </x:si>
  <x:si>
    <x:t xml:space="preserve">ai.google.dev/gemini-api/docs/pricing (KM đến 31/12/2026; sau đó 1,50/7,50)</x:t>
  </x:si>
  <x:si>
    <x:t xml:space="preserve">STT</x:t>
  </x:si>
  <x:si>
    <x:t xml:space="preserve">Deepgram Nova-3 — pre-recorded</x:t>
  </x:si>
  <x:si>
    <x:t xml:space="preserve">0,0043</x:t>
  </x:si>
  <x:si>
    <x:t xml:space="preserve">$ / phút</x:t>
  </x:si>
  <x:si>
    <x:t xml:space="preserve">deepgram.com/pricing</x:t>
  </x:si>
  <x:si>
    <x:t xml:space="preserve">⏳ Deepgram Nova-3 — streaming</x:t>
  </x:si>
  <x:si>
    <x:t xml:space="preserve">list 0,0077 · KM 0,0048</x:t>
  </x:si>
  <x:si>
    <x:t xml:space="preserve">deepgram.com/pricing — đang khuyến mại, kiểm tra lại</x:t>
  </x:si>
  <x:si>
    <x:t xml:space="preserve">AssemblyAI Universal-2 — async</x:t>
  </x:si>
  <x:si>
    <x:t xml:space="preserve">0,0025</x:t>
  </x:si>
  <x:si>
    <x:t xml:space="preserve">assemblyai.com/pricing</x:t>
  </x:si>
  <x:si>
    <x:t xml:space="preserve">OpenAI gpt-4o-mini-transcribe</x:t>
  </x:si>
  <x:si>
    <x:t xml:space="preserve">0,0030</x:t>
  </x:si>
  <x:si>
    <x:t xml:space="preserve">TTS</x:t>
  </x:si>
  <x:si>
    <x:t xml:space="preserve">Google Cloud TTS — Standard</x:t>
  </x:si>
  <x:si>
    <x:t xml:space="preserve">4,00</x:t>
  </x:si>
  <x:si>
    <x:t xml:space="preserve">$ / 1M ký tự</x:t>
  </x:si>
  <x:si>
    <x:t xml:space="preserve">cloud.google.com/text-to-speech/pricing (rẻ nhất)</x:t>
  </x:si>
  <x:si>
    <x:t xml:space="preserve">OpenAI tts-1</x:t>
  </x:si>
  <x:si>
    <x:t xml:space="preserve">15,00</x:t>
  </x:si>
  <x:si>
    <x:t xml:space="preserve">ElevenLabs Flash / Turbo</x:t>
  </x:si>
  <x:si>
    <x:t xml:space="preserve">50,00</x:t>
  </x:si>
  <x:si>
    <x:t xml:space="preserve">elevenlabs.io/pricing/api</x:t>
  </x:si>
  <x:si>
    <x:t xml:space="preserve">ElevenLabs v3 / v2 Multilingual</x:t>
  </x:si>
  <x:si>
    <x:t xml:space="preserve">100,00</x:t>
  </x:si>
  <x:si>
    <x:t xml:space="preserve">Quy đổi</x:t>
  </x:si>
  <x:si>
    <x:t xml:space="preserve">Tốc độ nói</x:t>
  </x:si>
  <x:si>
    <x:t xml:space="preserve">≈ 900</x:t>
  </x:si>
  <x:si>
    <x:t xml:space="preserve">ký tự / phút</x:t>
  </x:si>
  <x:si>
    <x:t xml:space="preserve">≈150 từ/phút — dùng để đổi phút ↔ ký tự</x:t>
  </x:si>
  <x:si>
    <x:t xml:space="preserve">Lưu ý</x:t>
  </x:si>
  <x:si>
    <x:t xml:space="preserve">Google TTS — ký tự CJK</x:t>
  </x:si>
  <x:si>
    <x:t xml:space="preserve">tính là 1 ký tự</x:t>
  </x:si>
  <x:si>
    <x:t xml:space="preserve">—</x:t>
  </x:si>
  <x:si>
    <x:t xml:space="preserve">cloud.google.com/text-to-speech/pricing (KHÔNG phải ×2)</x:t>
  </x:si>
  <x:si>
    <x:t xml:space="preserve">Google STT — tính theo kênh</x:t>
  </x:si>
  <x:si>
    <x:t xml:space="preserve">4 kênh × 120s = 480s</x:t>
  </x:si>
  <x:si>
    <x:t xml:space="preserve">cloud.google.com/speech-to-text/pricing</x:t>
  </x:si>
  <x:si>
    <x:t xml:space="preserve">Streaming vs async STT</x:t>
  </x:si>
  <x:si>
    <x:t xml:space="preserve">1× đến ~5×</x:t>
  </x:si>
  <x:si>
    <x:t xml:space="preserve">Tuỳ nhà cung cấp — AssemblyAI 1,0× · Google ~5×. Đừng dùng hệ số chung</x:t>
  </x:si>
  <x:si>
    <x:t xml:space="preserve">Sản phẩm</x:t>
  </x:si>
  <x:si>
    <x:t xml:space="preserve">Intercom Fin — resolution</x:t>
  </x:si>
  <x:si>
    <x:t xml:space="preserve">0,99</x:t>
  </x:si>
  <x:si>
    <x:t xml:space="preserve">$ / outcome</x:t>
  </x:si>
  <x:si>
    <x:t xml:space="preserve">fin.ai/pricing</x:t>
  </x:si>
  <x:si>
    <x:t xml:space="preserve">Intercom Fin — qualification (sales)</x:t>
  </x:si>
  <x:si>
    <x:t xml:space="preserve">9,99</x:t>
  </x:si>
  <x:si>
    <x:t xml:space="preserve">Zendesk — automated resolution</x:t>
  </x:si>
  <x:si>
    <x:t xml:space="preserve">1,50</x:t>
  </x:si>
  <x:si>
    <x:t xml:space="preserve">$ / resolution</x:t>
  </x:si>
  <x:si>
    <x:t xml:space="preserve">zendesk.com/blog/ai/agentic-ai/outcome-based-pricing/ (blog, không trên trang giá)</x:t>
  </x:si>
  <x:si>
    <x:t xml:space="preserve">Salesforce Agentforce — Flex Credit</x:t>
  </x:si>
  <x:si>
    <x:t xml:space="preserve">0,005 (action = 0,10)</x:t>
  </x:si>
  <x:si>
    <x:t xml:space="preserve">$ / credit</x:t>
  </x:si>
  <x:si>
    <x:t xml:space="preserve">salesforce.com/agentforce/pricing</x:t>
  </x:si>
  <x:si>
    <x:t xml:space="preserve">Salesforce Agentforce — conversation</x:t>
  </x:si>
  <x:si>
    <x:t xml:space="preserve">2,00</x:t>
  </x:si>
  <x:si>
    <x:t xml:space="preserve">$ / conversation</x:t>
  </x:si>
  <x:si>
    <x:t xml:space="preserve">GitHub Copilot — AI Credit</x:t>
  </x:si>
  <x:si>
    <x:t xml:space="preserve">0,01</x:t>
  </x:si>
  <x:si>
    <x:t xml:space="preserve">docs.github.com/en/copilot/get-started/plans</x:t>
  </x:si>
  <x:si>
    <x:t xml:space="preserve">GitHub Copilot Business / Enterprise</x:t>
  </x:si>
  <x:si>
    <x:t xml:space="preserve">19 / 39</x:t>
  </x:si>
  <x:si>
    <x:t xml:space="preserve">$ / seat / tháng</x:t>
  </x:si>
  <x:si>
    <x:t xml:space="preserve">Notion — Business / credits</x:t>
  </x:si>
  <x:si>
    <x:t xml:space="preserve">20 / 10 per 1.000</x:t>
  </x:si>
  <x:si>
    <x:t xml:space="preserve">$ / member / tháng</x:t>
  </x:si>
  <x:si>
    <x:t xml:space="preserve">notion.com/pricing</x:t>
  </x:si>
  <x:si>
    <x:t xml:space="preserve">Benchmark</x:t>
  </x:si>
  <x:si>
    <x:t xml:space="preserve">Gross Margin AI-native 2026E</x:t>
  </x:si>
  <x:si>
    <x:t xml:space="preserve">≈ 53%</x:t>
  </x:si>
  <x:si>
    <x:t xml:space="preserve">%</x:t>
  </x:si>
  <x:si>
    <x:t xml:space="preserve">ICONIQ, 2026 State of AI: The Builder's Economy (07/2026)</x:t>
  </x:si>
  <x:si>
    <x:t xml:space="preserve">Gross Margin cloud (middle 50%)</x:t>
  </x:si>
  <x:si>
    <x:t xml:space="preserve">60 – 80%</x:t>
  </x:si>
  <x:si>
    <x:t xml:space="preserve">Bessemer, Scaling to $100 Million (2024)</x:t>
  </x:si>
  <x:si>
    <x:t xml:space="preserve">Vertical AI — GM / model cost</x:t>
  </x:si>
  <x:si>
    <x:t xml:space="preserve">≈65% / ≈10% doanh thu</x:t>
  </x:si>
  <x:si>
    <x:t xml:space="preserve">Bessemer, State of the Cloud 2024</x:t>
  </x:si>
  <x:si>
    <x:t xml:space="preserve">CAC payback SMB / Mid / Enterprise</x:t>
  </x:si>
  <x:si>
    <x:t xml:space="preserve">12 / 18 / 24</x:t>
  </x:si>
  <x:si>
    <x:t xml:space="preserve">LTV : CAC</x:t>
  </x:si>
  <x:si>
    <x:t xml:space="preserve">≥ 3×</x:t>
  </x:si>
  <x:si>
    <x:t xml:space="preserve">lần</x:t>
  </x:si>
  <x:si>
    <x:t xml:space="preserve">David Skok, SaaS Metrics 2.0 (cập nhật 06/2026)</x:t>
  </x:si>
  <x:si>
    <x:t xml:space="preserve">Cost per opportunity 2026 (theo phân khúc)</x:t>
  </x:si>
  <x:si>
    <x:t xml:space="preserve">6.300 · 8.000 · 11.200</x:t>
  </x:si>
  <x:si>
    <x:t xml:space="preserve">$</x:t>
  </x:si>
  <x:si>
    <x:t xml:space="preserve">ICONIQ, State of GTM 2026 (tr.22)</x:t>
  </x:si>
  <x:si>
    <x:t xml:space="preserve">ACV sàn cho inside sales</x:t>
  </x:si>
  <x:si>
    <x:t xml:space="preserve">≈ 3.000</x:t>
  </x:si>
  <x:si>
    <x:t xml:space="preserve">$ / năm</x:t>
  </x:si>
  <x:si>
    <x:t xml:space="preserve">Tomasz Tunguz (2016) — có kèm giả định để tính lại</x:t>
  </x:si>
  <x:si>
    <x:t xml:space="preserve">Lưu ý: trang marketing của nhà cung cấp có thể hiển thị giá cũ hơn trang docs. Ưu tiên trang docs / pricing chính thức.</x:t>
  </x:si>
</x:sst>
</file>

<file path=xl/styles.xml><?xml version="1.0" encoding="utf-8"?>
<x:styleSheet xmlns:x="http://schemas.openxmlformats.org/spreadsheetml/2006/main">
  <x:numFmts count="18">
    <x:numFmt numFmtId="164" formatCode="0.0%"/>
    <x:numFmt numFmtId="165" formatCode="\$#,##0.0000"/>
    <x:numFmt numFmtId="166" formatCode="#,##0.0"/>
    <x:numFmt numFmtId="167" formatCode="\$#,##0.00"/>
    <x:numFmt numFmtId="168" formatCode="\$#,##0"/>
    <x:numFmt numFmtId="169" formatCode="#,##0.0\×"/>
    <x:numFmt numFmtId="170" formatCode="#,##0&quot; ₫&quot;"/>
    <x:numFmt numFmtId="200" formatCode="0.000000"/>
    <x:numFmt numFmtId="201" formatCode="@"/>
    <x:numFmt numFmtId="202" formatCode="dd/mm/yyyy"/>
    <x:numFmt numFmtId="203" formatCode="#,##0"/>
    <x:numFmt numFmtId="204" formatCode="0.00"/>
    <x:numFmt numFmtId="205" formatCode="0"/>
    <x:numFmt numFmtId="206" formatCode="0.0"/>
    <x:numFmt numFmtId="207" formatCode="0.0000"/>
    <x:numFmt numFmtId="208" formatCode="0%"/>
    <x:numFmt numFmtId="209" formatCode="#,##0.00"/>
    <x:numFmt numFmtId="210" formatCode="0.00000000"/>
  </x:numFmts>
  <x:fonts count="15">
    <x:font>
      <x:sz val="11"/>
      <x:color theme="1"/>
      <x:name val="Calibri"/>
      <x:scheme val="minor"/>
    </x:font>
    <x:font>
      <x:b/>
      <x:sz val="14"/>
      <x:color rgb="FFFFFFFF"/>
      <x:name val="Arial"/>
    </x:font>
    <x:font>
      <x:sz val="11"/>
      <x:color theme="1"/>
      <x:name val="Calibri"/>
    </x:font>
    <x:font>
      <x:i/>
      <x:sz val="9"/>
      <x:color rgb="FF666666"/>
      <x:name val="Arial"/>
    </x:font>
    <x:font>
      <x:b/>
      <x:sz val="11"/>
      <x:color rgb="FF1F2937"/>
      <x:name val="Arial"/>
    </x:font>
    <x:font>
      <x:sz val="10"/>
      <x:color rgb="FF0000FF"/>
      <x:name val="Arial"/>
    </x:font>
    <x:font>
      <x:sz val="10"/>
      <x:color theme="1"/>
      <x:name val="Arial"/>
    </x:font>
    <x:font>
      <x:sz val="10"/>
      <x:color rgb="FF008000"/>
      <x:name val="Arial"/>
    </x:font>
    <x:font>
      <x:b/>
      <x:sz val="10"/>
      <x:color theme="1"/>
      <x:name val="Arial"/>
    </x:font>
    <x:font>
      <x:b/>
      <x:sz val="11"/>
      <x:color rgb="FFC00000"/>
      <x:name val="Arial"/>
    </x:font>
    <x:font>
      <x:b/>
      <x:sz val="10"/>
      <x:color rgb="FFFFFFFF"/>
      <x:name val="Arial"/>
    </x:font>
    <x:font>
      <x:b/>
      <x:sz val="11"/>
      <x:color rgb="FFFFFFFF"/>
      <x:name val="Arial"/>
      <x:scheme val="minor"/>
    </x:font>
    <x:font>
      <x:sz val="10"/>
      <x:color rgb="FF0000FF"/>
      <x:name val="Arial"/>
      <x:scheme val="minor"/>
    </x:font>
    <x:font>
      <x:sz val="11"/>
      <x:color theme="1"/>
      <x:name val="Arial"/>
    </x:font>
    <x:font>
      <x:sz val="11"/>
      <x:color theme="1"/>
      <x:name val="Arial"/>
      <x:scheme val="minor"/>
    </x:font>
  </x:fonts>
  <x:fills count="10">
    <x:fill>
      <x:patternFill patternType="none"/>
    </x:fill>
    <x:fill>
      <x:patternFill patternType="lightGray"/>
    </x:fill>
    <x:fill>
      <x:patternFill patternType="solid">
        <x:fgColor rgb="FF1F2937"/>
      </x:patternFill>
    </x:fill>
    <x:fill>
      <x:patternFill patternType="solid">
        <x:fgColor rgb="FFFFF2CC"/>
      </x:patternFill>
    </x:fill>
    <x:fill>
      <x:patternFill patternType="solid">
        <x:fgColor rgb="FFE8EAF6"/>
      </x:patternFill>
    </x:fill>
    <x:fill>
      <x:patternFill patternType="solid">
        <x:fgColor rgb="FFF2F2F2"/>
      </x:patternFill>
    </x:fill>
    <x:fill>
      <x:patternFill patternType="solid">
        <x:fgColor rgb="FFEDEDED"/>
      </x:patternFill>
    </x:fill>
    <x:fill>
      <x:patternFill patternType="solid">
        <x:fgColor rgb="FF1F2937"/>
      </x:patternFill>
    </x:fill>
    <x:fill>
      <x:patternFill patternType="solid">
        <x:fgColor rgb="FFFFF2CC"/>
      </x:patternFill>
    </x:fill>
    <x:fill>
      <x:patternFill patternType="solid">
        <x:fgColor rgb="FFF2F2F2"/>
      </x:patternFill>
    </x:fill>
  </x:fills>
  <x:borders count="3">
    <x:border/>
    <x:border>
      <x:left/>
      <x:right/>
      <x:top/>
      <x:bottom/>
    </x:border>
    <x:border>
      <x:left style="thin">
        <x:color rgb="FFD0D0D0"/>
      </x:left>
      <x:right style="thin">
        <x:color rgb="FFD0D0D0"/>
      </x:right>
      <x:top style="thin">
        <x:color rgb="FFD0D0D0"/>
      </x:top>
      <x:bottom style="thin">
        <x:color rgb="FFD0D0D0"/>
      </x:bottom>
    </x:border>
  </x:borders>
  <x:cellStyleXfs count="1">
    <x:xf numFmtId="0" fontId="0" fillId="0" borderId="0" applyFont="1" applyAlignment="1"/>
  </x:cellStyleXfs>
  <x:cellXfs count="188">
    <x:xf numFmtId="0" fontId="0" fillId="0" borderId="0" xfId="0" applyFont="1" applyAlignment="1">
      <x:alignment vertical="bottom" wrapText="0" shrinkToFit="0"/>
    </x:xf>
    <x:xf numFmtId="0" fontId="1" fillId="2" borderId="1" xfId="0" applyFont="1" applyFill="1" applyBorder="1" applyAlignment="1">
      <x:alignment vertical="bottom" wrapText="0" shrinkToFit="0"/>
    </x:xf>
    <x:xf numFmtId="0" fontId="2" fillId="2" borderId="1" xfId="0" applyFont="1" applyFill="1" applyBorder="1" applyAlignment="1">
      <x:alignment vertical="bottom" wrapText="0" shrinkToFit="0"/>
    </x:xf>
    <x:xf numFmtId="0" fontId="3" fillId="0" borderId="0" xfId="0" applyFont="1" applyAlignment="1">
      <x:alignment vertical="bottom" wrapText="0" shrinkToFit="0"/>
    </x:xf>
    <x:xf numFmtId="0" fontId="4" fillId="0" borderId="0" xfId="0" applyFont="1" applyAlignment="1">
      <x:alignment vertical="bottom" wrapText="0" shrinkToFit="0"/>
    </x:xf>
    <x:xf numFmtId="0" fontId="5" fillId="3" borderId="2" xfId="0" applyFont="1" applyFill="1" applyBorder="1" applyAlignment="1">
      <x:alignment vertical="bottom" wrapText="0" shrinkToFit="0"/>
    </x:xf>
    <x:xf numFmtId="0" fontId="6" fillId="0" borderId="0" xfId="0" applyFont="1" applyAlignment="1">
      <x:alignment vertical="bottom" wrapText="0" shrinkToFit="0"/>
    </x:xf>
    <x:xf numFmtId="0" fontId="4" fillId="4" borderId="1" xfId="0" applyFont="1" applyFill="1" applyBorder="1" applyAlignment="1">
      <x:alignment vertical="bottom" wrapText="0" shrinkToFit="0"/>
    </x:xf>
    <x:xf numFmtId="0" fontId="6" fillId="5" borderId="2" xfId="0" applyFont="1" applyFill="1" applyBorder="1" applyAlignment="1">
      <x:alignment vertical="bottom" wrapText="0" shrinkToFit="0"/>
    </x:xf>
    <x:xf numFmtId="0" fontId="7" fillId="0" borderId="2" xfId="0" applyFont="1" applyBorder="1" applyAlignment="1">
      <x:alignment vertical="bottom" wrapText="0" shrinkToFit="0"/>
    </x:xf>
    <x:xf numFmtId="0" fontId="2" fillId="4" borderId="1" xfId="0" applyFont="1" applyFill="1" applyBorder="1" applyAlignment="1">
      <x:alignment vertical="bottom" wrapText="0" shrinkToFit="0"/>
    </x:xf>
    <x:xf numFmtId="0" fontId="6" fillId="6" borderId="2" xfId="0" applyFont="1" applyFill="1" applyBorder="1" applyAlignment="1">
      <x:alignment vertical="bottom" wrapText="0" shrinkToFit="0"/>
    </x:xf>
    <x:xf numFmtId="0" fontId="8" fillId="0" borderId="0" xfId="0" applyFont="1" applyAlignment="1">
      <x:alignment vertical="bottom" wrapText="0" shrinkToFit="0"/>
    </x:xf>
    <x:xf numFmtId="0" fontId="5" fillId="3" borderId="2" xfId="0" applyFont="1" applyFill="1" applyBorder="1" applyAlignment="1">
      <x:alignment horizontal="center" vertical="bottom" wrapText="0" shrinkToFit="0"/>
    </x:xf>
    <x:xf numFmtId="0" fontId="6" fillId="0" borderId="0" xfId="0" applyFont="1" applyAlignment="1">
      <x:alignment vertical="bottom" wrapText="0" shrinkToFit="0"/>
    </x:xf>
    <x:xf numFmtId="3" fontId="5" fillId="3" borderId="2" xfId="0" applyNumberFormat="1" applyFont="1" applyFill="1" applyBorder="1" applyAlignment="1">
      <x:alignment vertical="bottom" wrapText="0" shrinkToFit="0"/>
    </x:xf>
    <x:xf numFmtId="164" fontId="5" fillId="3" borderId="2" xfId="0" applyNumberFormat="1" applyFont="1" applyFill="1" applyBorder="1" applyAlignment="1">
      <x:alignment vertical="bottom" wrapText="0" shrinkToFit="0"/>
    </x:xf>
    <x:xf numFmtId="0" fontId="3" fillId="0" borderId="0" xfId="0" applyFont="1" applyAlignment="1">
      <x:alignment vertical="bottom" wrapText="0" shrinkToFit="0"/>
    </x:xf>
    <x:xf numFmtId="3" fontId="9" fillId="5" borderId="2" xfId="0" applyNumberFormat="1" applyFont="1" applyFill="1" applyBorder="1" applyAlignment="1">
      <x:alignment vertical="bottom" wrapText="0" shrinkToFit="0"/>
    </x:xf>
    <x:xf numFmtId="3" fontId="6" fillId="5" borderId="2" xfId="0" applyNumberFormat="1" applyFont="1" applyFill="1" applyBorder="1" applyAlignment="1">
      <x:alignment vertical="bottom" wrapText="0" shrinkToFit="0"/>
    </x:xf>
    <x:xf numFmtId="165" fontId="7" fillId="5" borderId="2" xfId="0" applyNumberFormat="1" applyFont="1" applyFill="1" applyBorder="1" applyAlignment="1">
      <x:alignment vertical="bottom" wrapText="0" shrinkToFit="0"/>
    </x:xf>
    <x:xf numFmtId="166" fontId="5" fillId="3" borderId="2" xfId="0" applyNumberFormat="1" applyFont="1" applyFill="1" applyBorder="1" applyAlignment="1">
      <x:alignment vertical="bottom" wrapText="0" shrinkToFit="0"/>
    </x:xf>
    <x:xf numFmtId="167" fontId="5" fillId="3" borderId="2" xfId="0" applyNumberFormat="1" applyFont="1" applyFill="1" applyBorder="1" applyAlignment="1">
      <x:alignment vertical="bottom" wrapText="0" shrinkToFit="0"/>
    </x:xf>
    <x:xf numFmtId="165" fontId="9" fillId="5" borderId="2" xfId="0" applyNumberFormat="1" applyFont="1" applyFill="1" applyBorder="1" applyAlignment="1">
      <x:alignment vertical="bottom" wrapText="0" shrinkToFit="0"/>
    </x:xf>
    <x:xf numFmtId="165" fontId="6" fillId="5" borderId="2" xfId="0" applyNumberFormat="1" applyFont="1" applyFill="1" applyBorder="1" applyAlignment="1">
      <x:alignment vertical="bottom" wrapText="0" shrinkToFit="0"/>
    </x:xf>
    <x:xf numFmtId="168" fontId="5" fillId="3" borderId="2" xfId="0" applyNumberFormat="1" applyFont="1" applyFill="1" applyBorder="1" applyAlignment="1">
      <x:alignment vertical="bottom" wrapText="0" shrinkToFit="0"/>
    </x:xf>
    <x:xf numFmtId="0" fontId="9" fillId="5" borderId="2" xfId="0" applyFont="1" applyFill="1" applyBorder="1" applyAlignment="1">
      <x:alignment vertical="bottom" wrapText="0" shrinkToFit="0"/>
    </x:xf>
    <x:xf numFmtId="0" fontId="8" fillId="6" borderId="2" xfId="0" applyFont="1" applyFill="1" applyBorder="1" applyAlignment="1">
      <x:alignment vertical="bottom" wrapText="0" shrinkToFit="0"/>
    </x:xf>
    <x:xf numFmtId="164" fontId="6" fillId="5" borderId="2" xfId="0" applyNumberFormat="1" applyFont="1" applyFill="1" applyBorder="1" applyAlignment="1">
      <x:alignment vertical="bottom" wrapText="0" shrinkToFit="0"/>
    </x:xf>
    <x:xf numFmtId="165" fontId="5" fillId="3" borderId="2" xfId="0" applyNumberFormat="1" applyFont="1" applyFill="1" applyBorder="1" applyAlignment="1">
      <x:alignment vertical="bottom" wrapText="0" shrinkToFit="0"/>
    </x:xf>
    <x:xf numFmtId="169" fontId="6" fillId="5" borderId="2" xfId="0" applyNumberFormat="1" applyFont="1" applyFill="1" applyBorder="1" applyAlignment="1">
      <x:alignment vertical="bottom" wrapText="0" shrinkToFit="0"/>
    </x:xf>
    <x:xf numFmtId="164" fontId="9" fillId="5" borderId="2" xfId="0" applyNumberFormat="1" applyFont="1" applyFill="1" applyBorder="1" applyAlignment="1">
      <x:alignment vertical="bottom" wrapText="0" shrinkToFit="0"/>
    </x:xf>
    <x:xf numFmtId="167" fontId="6" fillId="5" borderId="2" xfId="0" applyNumberFormat="1" applyFont="1" applyFill="1" applyBorder="1" applyAlignment="1">
      <x:alignment vertical="bottom" wrapText="0" shrinkToFit="0"/>
    </x:xf>
    <x:xf numFmtId="167" fontId="9" fillId="5" borderId="2" xfId="0" applyNumberFormat="1" applyFont="1" applyFill="1" applyBorder="1" applyAlignment="1">
      <x:alignment vertical="bottom" wrapText="0" shrinkToFit="0"/>
    </x:xf>
    <x:xf numFmtId="164" fontId="7" fillId="5" borderId="2" xfId="0" applyNumberFormat="1" applyFont="1" applyFill="1" applyBorder="1" applyAlignment="1">
      <x:alignment vertical="bottom" wrapText="0" shrinkToFit="0"/>
    </x:xf>
    <x:xf numFmtId="168" fontId="9" fillId="5" borderId="2" xfId="0" applyNumberFormat="1" applyFont="1" applyFill="1" applyBorder="1" applyAlignment="1">
      <x:alignment vertical="bottom" wrapText="0" shrinkToFit="0"/>
    </x:xf>
    <x:xf numFmtId="170" fontId="6" fillId="5" borderId="2" xfId="0" applyNumberFormat="1" applyFont="1" applyFill="1" applyBorder="1" applyAlignment="1">
      <x:alignment vertical="bottom" wrapText="0" shrinkToFit="0"/>
    </x:xf>
    <x:xf numFmtId="168" fontId="6" fillId="5" borderId="2" xfId="0" applyNumberFormat="1" applyFont="1" applyFill="1" applyBorder="1" applyAlignment="1">
      <x:alignment vertical="bottom" wrapText="0" shrinkToFit="0"/>
    </x:xf>
    <x:xf numFmtId="4" fontId="9" fillId="5" borderId="2" xfId="0" applyNumberFormat="1" applyFont="1" applyFill="1" applyBorder="1" applyAlignment="1">
      <x:alignment vertical="bottom" wrapText="0" shrinkToFit="0"/>
    </x:xf>
    <x:xf numFmtId="169" fontId="9" fillId="5" borderId="2" xfId="0" applyNumberFormat="1" applyFont="1" applyFill="1" applyBorder="1" applyAlignment="1">
      <x:alignment vertical="bottom" wrapText="0" shrinkToFit="0"/>
    </x:xf>
    <x:xf numFmtId="164" fontId="6" fillId="6" borderId="2" xfId="0" applyNumberFormat="1" applyFont="1" applyFill="1" applyBorder="1" applyAlignment="1">
      <x:alignment vertical="bottom" wrapText="0" shrinkToFit="0"/>
    </x:xf>
    <x:xf numFmtId="0" fontId="5" fillId="3" borderId="2" xfId="0" applyFont="1" applyFill="1" applyBorder="1" applyAlignment="1">
      <x:alignment vertical="top" wrapText="1" shrinkToFit="0"/>
    </x:xf>
    <x:xf numFmtId="0" fontId="10" fillId="2" borderId="2" xfId="0" applyFont="1" applyFill="1" applyBorder="1" applyAlignment="1">
      <x:alignment vertical="bottom" wrapText="0" shrinkToFit="0"/>
    </x:xf>
    <x:xf numFmtId="0" fontId="6" fillId="6" borderId="2" xfId="0" applyFont="1" applyFill="1" applyBorder="1" applyAlignment="1">
      <x:alignment vertical="top" wrapText="0" shrinkToFit="0"/>
    </x:xf>
    <x:xf numFmtId="0" fontId="3" fillId="6" borderId="2" xfId="0" applyFont="1" applyFill="1" applyBorder="1" applyAlignment="1">
      <x:alignment vertical="top" wrapText="1" shrinkToFit="0"/>
    </x:xf>
    <x:xf numFmtId="0" fontId="0" fillId="7" borderId="0" xfId="0" applyNumberFormat="1" applyFont="1" applyFill="1" applyBorder="1" applyAlignment="1">
      <x:alignment vertical="bottom" wrapText="0"/>
    </x:xf>
    <x:xf numFmtId="0" fontId="11" fillId="7" borderId="0" xfId="0" applyNumberFormat="1" applyFont="1" applyFill="1" applyBorder="1" applyAlignment="1">
      <x:alignment vertical="bottom" wrapText="0"/>
    </x:xf>
    <x:xf numFmtId="0" fontId="0" fillId="8" borderId="0" xfId="0" applyNumberFormat="1" applyFont="1" applyFill="1" applyBorder="1" applyAlignment="1">
      <x:alignment vertical="bottom" wrapText="0"/>
    </x:xf>
    <x:xf numFmtId="200" fontId="0" fillId="8" borderId="0" xfId="0" applyNumberFormat="1" applyFont="1" applyFill="1" applyBorder="1" applyAlignment="1">
      <x:alignment vertical="bottom" wrapText="0"/>
    </x:xf>
    <x:xf numFmtId="201" fontId="0" fillId="8" borderId="0" xfId="0" applyNumberFormat="1" applyFont="1" applyFill="1" applyBorder="1" applyAlignment="1">
      <x:alignment vertical="bottom" wrapText="0"/>
    </x:xf>
    <x:xf numFmtId="0" fontId="5" fillId="8" borderId="2" xfId="0" applyNumberFormat="1" applyFont="1" applyFill="1" applyBorder="1" applyAlignment="1">
      <x:alignment vertical="bottom" wrapText="0"/>
    </x:xf>
    <x:xf numFmtId="202" fontId="5" fillId="8" borderId="2" xfId="0" applyNumberFormat="1" applyFont="1" applyFill="1" applyBorder="1" applyAlignment="1">
      <x:alignment vertical="bottom" wrapText="0"/>
    </x:xf>
    <x:xf numFmtId="0" fontId="12" fillId="8" borderId="0" xfId="0" applyNumberFormat="1" applyFont="1" applyFill="1" applyBorder="1" applyAlignment="1">
      <x:alignment vertical="bottom" wrapText="0"/>
    </x:xf>
    <x:xf numFmtId="0" fontId="12" fillId="8" borderId="0" xfId="0" applyNumberFormat="1" applyFont="1" applyFill="1" applyBorder="1" applyAlignment="1">
      <x:alignment vertical="bottom" wrapText="1"/>
    </x:xf>
    <x:xf numFmtId="0" fontId="12" fillId="8" borderId="0" xfId="0" applyNumberFormat="1" applyFont="1" applyFill="1" applyBorder="1" applyAlignment="1">
      <x:alignment vertical="center" wrapText="1"/>
    </x:xf>
    <x:xf numFmtId="203" fontId="12" fillId="8" borderId="0" xfId="0" applyNumberFormat="1" applyFont="1" applyFill="1" applyBorder="1" applyAlignment="1">
      <x:alignment vertical="bottom" wrapText="0"/>
    </x:xf>
    <x:xf numFmtId="204" fontId="12" fillId="8" borderId="0" xfId="0" applyNumberFormat="1" applyFont="1" applyFill="1" applyBorder="1" applyAlignment="1">
      <x:alignment vertical="bottom" wrapText="0"/>
    </x:xf>
    <x:xf numFmtId="205" fontId="12" fillId="8" borderId="0" xfId="0" applyNumberFormat="1" applyFont="1" applyFill="1" applyBorder="1" applyAlignment="1">
      <x:alignment vertical="bottom" wrapText="0"/>
    </x:xf>
    <x:xf numFmtId="206" fontId="12" fillId="8" borderId="0" xfId="0" applyNumberFormat="1" applyFont="1" applyFill="1" applyBorder="1" applyAlignment="1">
      <x:alignment vertical="bottom" wrapText="0"/>
    </x:xf>
    <x:xf numFmtId="164" fontId="12" fillId="8" borderId="0" xfId="0" applyNumberFormat="1" applyFont="1" applyFill="1" applyBorder="1" applyAlignment="1">
      <x:alignment vertical="bottom" wrapText="0"/>
    </x:xf>
    <x:xf numFmtId="0" fontId="0" fillId="9" borderId="0" xfId="0" applyNumberFormat="1" applyFont="1" applyFill="1" applyBorder="1" applyAlignment="1">
      <x:alignment vertical="bottom" wrapText="0"/>
    </x:xf>
    <x:xf numFmtId="207" fontId="0" fillId="9" borderId="0" xfId="0" applyNumberFormat="1" applyFont="1" applyFill="1" applyBorder="1" applyAlignment="1">
      <x:alignment vertical="bottom" wrapText="0"/>
    </x:xf>
    <x:xf numFmtId="164" fontId="0" fillId="9" borderId="0" xfId="0" applyNumberFormat="1" applyFont="1" applyFill="1" applyBorder="1" applyAlignment="1">
      <x:alignment vertical="bottom" wrapText="0"/>
    </x:xf>
    <x:xf numFmtId="204" fontId="0" fillId="9" borderId="0" xfId="0" applyNumberFormat="1" applyFont="1" applyFill="1" applyBorder="1" applyAlignment="1">
      <x:alignment vertical="bottom" wrapText="0"/>
    </x:xf>
    <x:xf numFmtId="206" fontId="0" fillId="9" borderId="0" xfId="0" applyNumberFormat="1" applyFont="1" applyFill="1" applyBorder="1" applyAlignment="1">
      <x:alignment vertical="bottom" wrapText="0"/>
    </x:xf>
    <x:xf numFmtId="208" fontId="12" fillId="8" borderId="0" xfId="0" applyNumberFormat="1" applyFont="1" applyFill="1" applyBorder="1" applyAlignment="1">
      <x:alignment vertical="bottom" wrapText="0"/>
    </x:xf>
    <x:xf numFmtId="202" fontId="12" fillId="8" borderId="0" xfId="0" applyNumberFormat="1" applyFont="1" applyFill="1" applyBorder="1" applyAlignment="1">
      <x:alignment vertical="bottom" wrapText="0"/>
    </x:xf>
    <x:xf numFmtId="0" fontId="1" fillId="2" borderId="1" xfId="0" applyNumberFormat="1" applyFont="1" applyFill="1" applyBorder="1" applyAlignment="1">
      <x:alignment vertical="bottom" wrapText="0"/>
    </x:xf>
    <x:xf numFmtId="0" fontId="13" fillId="2" borderId="1" xfId="0" applyNumberFormat="1" applyFont="1" applyFill="1" applyBorder="1" applyAlignment="1">
      <x:alignment vertical="bottom" wrapText="0"/>
    </x:xf>
    <x:xf numFmtId="0" fontId="3" fillId="0" borderId="0" xfId="0" applyNumberFormat="1" applyFont="1" applyFill="1" applyBorder="1" applyAlignment="1">
      <x:alignment vertical="bottom" wrapText="0"/>
    </x:xf>
    <x:xf numFmtId="0" fontId="14" fillId="0" borderId="0" xfId="0" applyNumberFormat="1" applyFont="1" applyFill="1" applyBorder="1" applyAlignment="1">
      <x:alignment vertical="bottom" wrapText="0"/>
    </x:xf>
    <x:xf numFmtId="0" fontId="4" fillId="4" borderId="1" xfId="0" applyNumberFormat="1" applyFont="1" applyFill="1" applyBorder="1" applyAlignment="1">
      <x:alignment vertical="bottom" wrapText="0"/>
    </x:xf>
    <x:xf numFmtId="0" fontId="13" fillId="4" borderId="1" xfId="0" applyNumberFormat="1" applyFont="1" applyFill="1" applyBorder="1" applyAlignment="1">
      <x:alignment vertical="bottom" wrapText="0"/>
    </x:xf>
    <x:xf numFmtId="0" fontId="6" fillId="0" borderId="0" xfId="0" applyNumberFormat="1" applyFont="1" applyFill="1" applyBorder="1" applyAlignment="1">
      <x:alignment vertical="bottom" wrapText="0"/>
    </x:xf>
    <x:xf numFmtId="0" fontId="5" fillId="3" borderId="2" xfId="0" applyNumberFormat="1" applyFont="1" applyFill="1" applyBorder="1" applyAlignment="1">
      <x:alignment vertical="bottom" wrapText="0"/>
    </x:xf>
    <x:xf numFmtId="0" fontId="5" fillId="3" borderId="2" xfId="0" applyNumberFormat="1" applyFont="1" applyFill="1" applyBorder="1" applyAlignment="1">
      <x:alignment horizontal="center" vertical="bottom" wrapText="0"/>
    </x:xf>
    <x:xf numFmtId="3" fontId="5" fillId="3" borderId="2" xfId="0" applyNumberFormat="1" applyFont="1" applyFill="1" applyBorder="1" applyAlignment="1">
      <x:alignment vertical="bottom" wrapText="0"/>
    </x:xf>
    <x:xf numFmtId="164" fontId="5" fillId="3" borderId="2" xfId="0" applyNumberFormat="1" applyFont="1" applyFill="1" applyBorder="1" applyAlignment="1">
      <x:alignment vertical="bottom" wrapText="0"/>
    </x:xf>
    <x:xf numFmtId="3" fontId="6" fillId="5" borderId="2" xfId="0" applyNumberFormat="1" applyFont="1" applyFill="1" applyBorder="1" applyAlignment="1">
      <x:alignment vertical="bottom" wrapText="0"/>
    </x:xf>
    <x:xf numFmtId="167" fontId="5" fillId="3" borderId="2" xfId="0" applyNumberFormat="1" applyFont="1" applyFill="1" applyBorder="1" applyAlignment="1">
      <x:alignment vertical="bottom" wrapText="0"/>
    </x:xf>
    <x:xf numFmtId="165" fontId="6" fillId="5" borderId="2" xfId="0" applyNumberFormat="1" applyFont="1" applyFill="1" applyBorder="1" applyAlignment="1">
      <x:alignment vertical="bottom" wrapText="0"/>
    </x:xf>
    <x:xf numFmtId="0" fontId="8" fillId="0" borderId="0" xfId="0" applyNumberFormat="1" applyFont="1" applyFill="1" applyBorder="1" applyAlignment="1">
      <x:alignment vertical="bottom" wrapText="0"/>
    </x:xf>
    <x:xf numFmtId="165" fontId="9" fillId="5" borderId="2" xfId="0" applyNumberFormat="1" applyFont="1" applyFill="1" applyBorder="1" applyAlignment="1">
      <x:alignment vertical="bottom" wrapText="0"/>
    </x:xf>
    <x:xf numFmtId="164" fontId="6" fillId="5" borderId="2" xfId="0" applyNumberFormat="1" applyFont="1" applyFill="1" applyBorder="1" applyAlignment="1">
      <x:alignment vertical="bottom" wrapText="0"/>
    </x:xf>
    <x:xf numFmtId="165" fontId="5" fillId="3" borderId="2" xfId="0" applyNumberFormat="1" applyFont="1" applyFill="1" applyBorder="1" applyAlignment="1">
      <x:alignment vertical="bottom" wrapText="0"/>
    </x:xf>
    <x:xf numFmtId="166" fontId="5" fillId="3" borderId="2" xfId="0" applyNumberFormat="1" applyFont="1" applyFill="1" applyBorder="1" applyAlignment="1">
      <x:alignment vertical="bottom" wrapText="0"/>
    </x:xf>
    <x:xf numFmtId="167" fontId="6" fillId="5" borderId="2" xfId="0" applyNumberFormat="1" applyFont="1" applyFill="1" applyBorder="1" applyAlignment="1">
      <x:alignment vertical="bottom" wrapText="0"/>
    </x:xf>
    <x:xf numFmtId="167" fontId="9" fillId="5" borderId="2" xfId="0" applyNumberFormat="1" applyFont="1" applyFill="1" applyBorder="1" applyAlignment="1">
      <x:alignment vertical="bottom" wrapText="0"/>
    </x:xf>
    <x:xf numFmtId="170" fontId="6" fillId="5" borderId="2" xfId="0" applyNumberFormat="1" applyFont="1" applyFill="1" applyBorder="1" applyAlignment="1">
      <x:alignment vertical="bottom" wrapText="0"/>
    </x:xf>
    <x:xf numFmtId="207" fontId="14" fillId="9" borderId="0" xfId="0" applyNumberFormat="1" applyFont="1" applyFill="1" applyBorder="1" applyAlignment="1">
      <x:alignment vertical="bottom" wrapText="0"/>
    </x:xf>
    <x:xf numFmtId="164" fontId="14" fillId="9" borderId="0" xfId="0" applyNumberFormat="1" applyFont="1" applyFill="1" applyBorder="1" applyAlignment="1">
      <x:alignment vertical="bottom" wrapText="0"/>
    </x:xf>
    <x:xf numFmtId="0" fontId="1" fillId="2" borderId="1" xfId="0" applyNumberFormat="1" applyFont="1" applyFill="1" applyBorder="1" applyAlignment="1">
      <x:alignment vertical="center" wrapText="0"/>
    </x:xf>
    <x:xf numFmtId="0" fontId="13" fillId="2" borderId="1" xfId="0" applyNumberFormat="1" applyFont="1" applyFill="1" applyBorder="1" applyAlignment="1">
      <x:alignment vertical="center" wrapText="0"/>
    </x:xf>
    <x:xf numFmtId="0" fontId="3" fillId="0" borderId="0" xfId="0" applyNumberFormat="1" applyFont="1" applyFill="1" applyBorder="1" applyAlignment="1">
      <x:alignment vertical="center" wrapText="0"/>
    </x:xf>
    <x:xf numFmtId="0" fontId="14" fillId="0" borderId="0" xfId="0" applyNumberFormat="1" applyFont="1" applyFill="1" applyBorder="1" applyAlignment="1">
      <x:alignment vertical="center" wrapText="0"/>
    </x:xf>
    <x:xf numFmtId="0" fontId="4" fillId="4" borderId="1" xfId="0" applyNumberFormat="1" applyFont="1" applyFill="1" applyBorder="1" applyAlignment="1">
      <x:alignment vertical="center" wrapText="0"/>
    </x:xf>
    <x:xf numFmtId="0" fontId="13" fillId="4" borderId="1" xfId="0" applyNumberFormat="1" applyFont="1" applyFill="1" applyBorder="1" applyAlignment="1">
      <x:alignment vertical="center" wrapText="0"/>
    </x:xf>
    <x:xf numFmtId="0" fontId="6" fillId="0" borderId="0" xfId="0" applyNumberFormat="1" applyFont="1" applyFill="1" applyBorder="1" applyAlignment="1">
      <x:alignment vertical="center" wrapText="0"/>
    </x:xf>
    <x:xf numFmtId="0" fontId="5" fillId="3" borderId="2" xfId="0" applyNumberFormat="1" applyFont="1" applyFill="1" applyBorder="1" applyAlignment="1">
      <x:alignment vertical="center" wrapText="0"/>
    </x:xf>
    <x:xf numFmtId="0" fontId="5" fillId="3" borderId="2" xfId="0" applyNumberFormat="1" applyFont="1" applyFill="1" applyBorder="1" applyAlignment="1">
      <x:alignment horizontal="center" vertical="center" wrapText="0"/>
    </x:xf>
    <x:xf numFmtId="3" fontId="5" fillId="3" borderId="2" xfId="0" applyNumberFormat="1" applyFont="1" applyFill="1" applyBorder="1" applyAlignment="1">
      <x:alignment vertical="center" wrapText="0"/>
    </x:xf>
    <x:xf numFmtId="164" fontId="5" fillId="3" borderId="2" xfId="0" applyNumberFormat="1" applyFont="1" applyFill="1" applyBorder="1" applyAlignment="1">
      <x:alignment vertical="center" wrapText="0"/>
    </x:xf>
    <x:xf numFmtId="3" fontId="6" fillId="5" borderId="2" xfId="0" applyNumberFormat="1" applyFont="1" applyFill="1" applyBorder="1" applyAlignment="1">
      <x:alignment vertical="center" wrapText="0"/>
    </x:xf>
    <x:xf numFmtId="167" fontId="5" fillId="3" borderId="2" xfId="0" applyNumberFormat="1" applyFont="1" applyFill="1" applyBorder="1" applyAlignment="1">
      <x:alignment vertical="center" wrapText="0"/>
    </x:xf>
    <x:xf numFmtId="165" fontId="6" fillId="5" borderId="2" xfId="0" applyNumberFormat="1" applyFont="1" applyFill="1" applyBorder="1" applyAlignment="1">
      <x:alignment vertical="center" wrapText="0"/>
    </x:xf>
    <x:xf numFmtId="0" fontId="8" fillId="0" borderId="0" xfId="0" applyNumberFormat="1" applyFont="1" applyFill="1" applyBorder="1" applyAlignment="1">
      <x:alignment vertical="center" wrapText="0"/>
    </x:xf>
    <x:xf numFmtId="165" fontId="9" fillId="5" borderId="2" xfId="0" applyNumberFormat="1" applyFont="1" applyFill="1" applyBorder="1" applyAlignment="1">
      <x:alignment vertical="center" wrapText="0"/>
    </x:xf>
    <x:xf numFmtId="164" fontId="6" fillId="5" borderId="2" xfId="0" applyNumberFormat="1" applyFont="1" applyFill="1" applyBorder="1" applyAlignment="1">
      <x:alignment vertical="center" wrapText="0"/>
    </x:xf>
    <x:xf numFmtId="165" fontId="5" fillId="3" borderId="2" xfId="0" applyNumberFormat="1" applyFont="1" applyFill="1" applyBorder="1" applyAlignment="1">
      <x:alignment vertical="center" wrapText="0"/>
    </x:xf>
    <x:xf numFmtId="166" fontId="5" fillId="3" borderId="2" xfId="0" applyNumberFormat="1" applyFont="1" applyFill="1" applyBorder="1" applyAlignment="1">
      <x:alignment vertical="center" wrapText="0"/>
    </x:xf>
    <x:xf numFmtId="167" fontId="6" fillId="5" borderId="2" xfId="0" applyNumberFormat="1" applyFont="1" applyFill="1" applyBorder="1" applyAlignment="1">
      <x:alignment vertical="center" wrapText="0"/>
    </x:xf>
    <x:xf numFmtId="167" fontId="9" fillId="5" borderId="2" xfId="0" applyNumberFormat="1" applyFont="1" applyFill="1" applyBorder="1" applyAlignment="1">
      <x:alignment vertical="center" wrapText="0"/>
    </x:xf>
    <x:xf numFmtId="170" fontId="6" fillId="5" borderId="2" xfId="0" applyNumberFormat="1" applyFont="1" applyFill="1" applyBorder="1" applyAlignment="1">
      <x:alignment vertical="center" wrapText="0"/>
    </x:xf>
    <x:xf numFmtId="0" fontId="11" fillId="7" borderId="0" xfId="0" applyNumberFormat="1" applyFont="1" applyFill="1" applyBorder="1" applyAlignment="1">
      <x:alignment vertical="center" wrapText="0"/>
    </x:xf>
    <x:xf numFmtId="203" fontId="12" fillId="8" borderId="0" xfId="0" applyNumberFormat="1" applyFont="1" applyFill="1" applyBorder="1" applyAlignment="1">
      <x:alignment vertical="center" wrapText="0"/>
    </x:xf>
    <x:xf numFmtId="204" fontId="12" fillId="8" borderId="0" xfId="0" applyNumberFormat="1" applyFont="1" applyFill="1" applyBorder="1" applyAlignment="1">
      <x:alignment vertical="center" wrapText="0"/>
    </x:xf>
    <x:xf numFmtId="205" fontId="12" fillId="8" borderId="0" xfId="0" applyNumberFormat="1" applyFont="1" applyFill="1" applyBorder="1" applyAlignment="1">
      <x:alignment vertical="center" wrapText="0"/>
    </x:xf>
    <x:xf numFmtId="206" fontId="12" fillId="8" borderId="0" xfId="0" applyNumberFormat="1" applyFont="1" applyFill="1" applyBorder="1" applyAlignment="1">
      <x:alignment vertical="center" wrapText="0"/>
    </x:xf>
    <x:xf numFmtId="164" fontId="12" fillId="8" borderId="0" xfId="0" applyNumberFormat="1" applyFont="1" applyFill="1" applyBorder="1" applyAlignment="1">
      <x:alignment vertical="center" wrapText="0"/>
    </x:xf>
    <x:xf numFmtId="207" fontId="14" fillId="9" borderId="0" xfId="0" applyNumberFormat="1" applyFont="1" applyFill="1" applyBorder="1" applyAlignment="1">
      <x:alignment vertical="center" wrapText="0"/>
    </x:xf>
    <x:xf numFmtId="164" fontId="14" fillId="9" borderId="0" xfId="0" applyNumberFormat="1" applyFont="1" applyFill="1" applyBorder="1" applyAlignment="1">
      <x:alignment vertical="center" wrapText="0"/>
    </x:xf>
    <x:xf numFmtId="0" fontId="14" fillId="0" borderId="0" xfId="0" applyNumberFormat="1" applyFont="1" applyFill="1" applyBorder="1" applyAlignment="1">
      <x:alignment vertical="center" wrapText="1"/>
    </x:xf>
    <x:xf numFmtId="0" fontId="13" fillId="4" borderId="1"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11" fillId="7" borderId="0" xfId="0" applyNumberFormat="1" applyFont="1" applyFill="1" applyBorder="1" applyAlignment="1">
      <x:alignment vertical="center" wrapText="1"/>
    </x:xf>
    <x:xf numFmtId="165" fontId="7" fillId="5" borderId="2" xfId="0" applyNumberFormat="1" applyFont="1" applyFill="1" applyBorder="1" applyAlignment="1">
      <x:alignment vertical="bottom" wrapText="0"/>
    </x:xf>
    <x:xf numFmtId="168" fontId="5" fillId="3" borderId="2" xfId="0" applyNumberFormat="1" applyFont="1" applyFill="1" applyBorder="1" applyAlignment="1">
      <x:alignment vertical="bottom" wrapText="0"/>
    </x:xf>
    <x:xf numFmtId="169" fontId="6" fillId="5" borderId="2" xfId="0" applyNumberFormat="1" applyFont="1" applyFill="1" applyBorder="1" applyAlignment="1">
      <x:alignment vertical="bottom" wrapText="0"/>
    </x:xf>
    <x:xf numFmtId="164" fontId="9" fillId="5" borderId="2" xfId="0" applyNumberFormat="1" applyFont="1" applyFill="1" applyBorder="1" applyAlignment="1">
      <x:alignment vertical="bottom" wrapText="0"/>
    </x:xf>
    <x:xf numFmtId="0" fontId="6" fillId="5" borderId="2" xfId="0" applyNumberFormat="1" applyFont="1" applyFill="1" applyBorder="1" applyAlignment="1">
      <x:alignment vertical="bottom" wrapText="0"/>
    </x:xf>
    <x:xf numFmtId="164" fontId="7" fillId="5" borderId="2" xfId="0" applyNumberFormat="1" applyFont="1" applyFill="1" applyBorder="1" applyAlignment="1">
      <x:alignment vertical="bottom" wrapText="0"/>
    </x:xf>
    <x:xf numFmtId="0" fontId="8" fillId="6" borderId="2" xfId="0" applyNumberFormat="1" applyFont="1" applyFill="1" applyBorder="1" applyAlignment="1">
      <x:alignment vertical="bottom" wrapText="0"/>
    </x:xf>
    <x:xf numFmtId="164" fontId="6" fillId="6" borderId="2" xfId="0" applyNumberFormat="1" applyFont="1" applyFill="1" applyBorder="1" applyAlignment="1">
      <x:alignment vertical="bottom" wrapText="0"/>
    </x:xf>
    <x:xf numFmtId="204" fontId="14" fillId="9" borderId="0" xfId="0" applyNumberFormat="1" applyFont="1" applyFill="1" applyBorder="1" applyAlignment="1">
      <x:alignment vertical="bottom" wrapText="0"/>
    </x:xf>
    <x:xf numFmtId="206" fontId="14" fillId="9" borderId="0" xfId="0" applyNumberFormat="1" applyFont="1" applyFill="1" applyBorder="1" applyAlignment="1">
      <x:alignment vertical="bottom" wrapText="0"/>
    </x:xf>
    <x:xf numFmtId="165" fontId="7" fillId="5" borderId="2" xfId="0" applyNumberFormat="1" applyFont="1" applyFill="1" applyBorder="1" applyAlignment="1">
      <x:alignment vertical="center" wrapText="0"/>
    </x:xf>
    <x:xf numFmtId="168" fontId="5" fillId="3" borderId="2" xfId="0" applyNumberFormat="1" applyFont="1" applyFill="1" applyBorder="1" applyAlignment="1">
      <x:alignment vertical="center" wrapText="0"/>
    </x:xf>
    <x:xf numFmtId="169" fontId="6" fillId="5" borderId="2" xfId="0" applyNumberFormat="1" applyFont="1" applyFill="1" applyBorder="1" applyAlignment="1">
      <x:alignment vertical="center" wrapText="0"/>
    </x:xf>
    <x:xf numFmtId="164" fontId="9" fillId="5" borderId="2" xfId="0" applyNumberFormat="1" applyFont="1" applyFill="1" applyBorder="1" applyAlignment="1">
      <x:alignment vertical="center" wrapText="0"/>
    </x:xf>
    <x:xf numFmtId="0" fontId="6" fillId="5" borderId="2" xfId="0" applyNumberFormat="1" applyFont="1" applyFill="1" applyBorder="1" applyAlignment="1">
      <x:alignment vertical="center" wrapText="0"/>
    </x:xf>
    <x:xf numFmtId="164" fontId="7" fillId="5" borderId="2" xfId="0" applyNumberFormat="1" applyFont="1" applyFill="1" applyBorder="1" applyAlignment="1">
      <x:alignment vertical="center" wrapText="0"/>
    </x:xf>
    <x:xf numFmtId="0" fontId="8" fillId="6" borderId="2" xfId="0" applyNumberFormat="1" applyFont="1" applyFill="1" applyBorder="1" applyAlignment="1">
      <x:alignment vertical="center" wrapText="0"/>
    </x:xf>
    <x:xf numFmtId="164" fontId="6" fillId="6" borderId="2" xfId="0" applyNumberFormat="1" applyFont="1" applyFill="1" applyBorder="1" applyAlignment="1">
      <x:alignment vertical="center" wrapText="0"/>
    </x:xf>
    <x:xf numFmtId="204" fontId="14" fillId="9" borderId="0" xfId="0" applyNumberFormat="1" applyFont="1" applyFill="1" applyBorder="1" applyAlignment="1">
      <x:alignment vertical="center" wrapText="0"/>
    </x:xf>
    <x:xf numFmtId="206" fontId="14" fillId="9" borderId="0" xfId="0" applyNumberFormat="1" applyFont="1" applyFill="1" applyBorder="1" applyAlignment="1">
      <x:alignment vertical="center" wrapText="0"/>
    </x:xf>
    <x:xf numFmtId="208" fontId="12" fillId="8" borderId="0" xfId="0" applyNumberFormat="1" applyFont="1" applyFill="1" applyBorder="1" applyAlignment="1">
      <x:alignment vertical="center" wrapText="0"/>
    </x:xf>
    <x:xf numFmtId="0" fontId="8" fillId="6" borderId="2" xfId="0" applyNumberFormat="1" applyFont="1" applyFill="1" applyBorder="1" applyAlignment="1">
      <x:alignment vertical="center" wrapText="1"/>
    </x:xf>
    <x:xf numFmtId="0" fontId="6" fillId="5" borderId="2" xfId="0" applyNumberFormat="1" applyFont="1" applyFill="1" applyBorder="1" applyAlignment="1">
      <x:alignment vertical="center" wrapText="1"/>
    </x:xf>
    <x:xf numFmtId="164" fontId="14" fillId="9" borderId="0" xfId="0" applyNumberFormat="1" applyFont="1" applyFill="1" applyBorder="1" applyAlignment="1">
      <x:alignment vertical="center" wrapText="1"/>
    </x:xf>
    <x:xf numFmtId="3" fontId="9" fillId="5" borderId="2" xfId="0" applyNumberFormat="1" applyFont="1" applyFill="1" applyBorder="1" applyAlignment="1">
      <x:alignment vertical="bottom" wrapText="0"/>
    </x:xf>
    <x:xf numFmtId="0" fontId="9" fillId="5" borderId="2" xfId="0" applyNumberFormat="1" applyFont="1" applyFill="1" applyBorder="1" applyAlignment="1">
      <x:alignment vertical="bottom" wrapText="0"/>
    </x:xf>
    <x:xf numFmtId="3" fontId="9" fillId="5" borderId="2" xfId="0" applyNumberFormat="1" applyFont="1" applyFill="1" applyBorder="1" applyAlignment="1">
      <x:alignment vertical="center" wrapText="0"/>
    </x:xf>
    <x:xf numFmtId="0" fontId="9" fillId="5" borderId="2" xfId="0" applyNumberFormat="1" applyFont="1" applyFill="1" applyBorder="1" applyAlignment="1">
      <x:alignment vertical="center" wrapText="0"/>
    </x:xf>
    <x:xf numFmtId="0" fontId="12" fillId="8" borderId="0" xfId="0" applyNumberFormat="1" applyFont="1" applyFill="1" applyBorder="1" applyAlignment="1">
      <x:alignment vertical="center" wrapText="0"/>
    </x:xf>
    <x:xf numFmtId="0" fontId="5" fillId="3" borderId="2" xfId="0" applyNumberFormat="1" applyFont="1" applyFill="1" applyBorder="1" applyAlignment="1">
      <x:alignment vertical="center" wrapText="1"/>
    </x:xf>
    <x:xf numFmtId="168" fontId="9" fillId="5" borderId="2" xfId="0" applyNumberFormat="1" applyFont="1" applyFill="1" applyBorder="1" applyAlignment="1">
      <x:alignment vertical="bottom" wrapText="0"/>
    </x:xf>
    <x:xf numFmtId="168" fontId="6" fillId="5" borderId="2" xfId="0" applyNumberFormat="1" applyFont="1" applyFill="1" applyBorder="1" applyAlignment="1">
      <x:alignment vertical="bottom" wrapText="0"/>
    </x:xf>
    <x:xf numFmtId="4" fontId="9" fillId="5" borderId="2" xfId="0" applyNumberFormat="1" applyFont="1" applyFill="1" applyBorder="1" applyAlignment="1">
      <x:alignment vertical="bottom" wrapText="0"/>
    </x:xf>
    <x:xf numFmtId="169" fontId="9" fillId="5" borderId="2" xfId="0" applyNumberFormat="1" applyFont="1" applyFill="1" applyBorder="1" applyAlignment="1">
      <x:alignment vertical="bottom" wrapText="0"/>
    </x:xf>
    <x:xf numFmtId="168" fontId="9" fillId="5" borderId="2" xfId="0" applyNumberFormat="1" applyFont="1" applyFill="1" applyBorder="1" applyAlignment="1">
      <x:alignment vertical="center" wrapText="0"/>
    </x:xf>
    <x:xf numFmtId="168" fontId="6" fillId="5" borderId="2" xfId="0" applyNumberFormat="1" applyFont="1" applyFill="1" applyBorder="1" applyAlignment="1">
      <x:alignment vertical="center" wrapText="0"/>
    </x:xf>
    <x:xf numFmtId="4" fontId="9" fillId="5" borderId="2" xfId="0" applyNumberFormat="1" applyFont="1" applyFill="1" applyBorder="1" applyAlignment="1">
      <x:alignment vertical="center" wrapText="0"/>
    </x:xf>
    <x:xf numFmtId="169" fontId="9" fillId="5" borderId="2" xfId="0" applyNumberFormat="1" applyFont="1" applyFill="1" applyBorder="1" applyAlignment="1">
      <x:alignment vertical="center" wrapText="0"/>
    </x:xf>
    <x:xf numFmtId="0" fontId="5" fillId="3" borderId="2" xfId="0" applyNumberFormat="1" applyFont="1" applyFill="1" applyBorder="1" applyAlignment="1">
      <x:alignment horizontal="center" vertical="center" wrapText="1"/>
    </x:xf>
    <x:xf numFmtId="0" fontId="9" fillId="5" borderId="2" xfId="0" applyNumberFormat="1" applyFont="1" applyFill="1" applyBorder="1" applyAlignment="1">
      <x:alignment vertical="center" wrapText="1"/>
    </x:xf>
    <x:xf numFmtId="0" fontId="5" fillId="3" borderId="2" xfId="0" applyNumberFormat="1" applyFont="1" applyFill="1" applyBorder="1" applyAlignment="1">
      <x:alignment vertical="top" wrapText="1"/>
    </x:xf>
    <x:xf numFmtId="202" fontId="12" fillId="8" borderId="0" xfId="0" applyNumberFormat="1" applyFont="1" applyFill="1" applyBorder="1" applyAlignment="1">
      <x:alignment vertical="center" wrapText="0"/>
    </x:xf>
    <x:xf numFmtId="0" fontId="10" fillId="2" borderId="2" xfId="0" applyNumberFormat="1" applyFont="1" applyFill="1" applyBorder="1" applyAlignment="1">
      <x:alignment vertical="bottom" wrapText="0"/>
    </x:xf>
    <x:xf numFmtId="0" fontId="6" fillId="6" borderId="2" xfId="0" applyNumberFormat="1" applyFont="1" applyFill="1" applyBorder="1" applyAlignment="1">
      <x:alignment vertical="top" wrapText="0"/>
    </x:xf>
    <x:xf numFmtId="0" fontId="14" fillId="8" borderId="0" xfId="0" applyNumberFormat="1" applyFont="1" applyFill="1" applyBorder="1" applyAlignment="1">
      <x:alignment vertical="bottom" wrapText="0"/>
    </x:xf>
    <x:xf numFmtId="200" fontId="14" fillId="8" borderId="0" xfId="0" applyNumberFormat="1" applyFont="1" applyFill="1" applyBorder="1" applyAlignment="1">
      <x:alignment vertical="bottom" wrapText="0"/>
    </x:xf>
    <x:xf numFmtId="201" fontId="14" fillId="8" borderId="0" xfId="0" applyNumberFormat="1" applyFont="1" applyFill="1" applyBorder="1" applyAlignment="1">
      <x:alignment vertical="bottom" wrapText="0"/>
    </x:xf>
    <x:xf numFmtId="202" fontId="5" fillId="8" borderId="2" xfId="0" applyNumberFormat="1" applyFont="1" applyFill="1" applyBorder="1" applyAlignment="1">
      <x:alignment vertical="center" wrapText="0"/>
    </x:xf>
    <x:xf numFmtId="0" fontId="10" fillId="2" borderId="2" xfId="0" applyNumberFormat="1" applyFont="1" applyFill="1" applyBorder="1" applyAlignment="1">
      <x:alignment vertical="center" wrapText="0"/>
    </x:xf>
    <x:xf numFmtId="0" fontId="6" fillId="6" borderId="2" xfId="0" applyNumberFormat="1" applyFont="1" applyFill="1" applyBorder="1" applyAlignment="1">
      <x:alignment vertical="center" wrapText="0"/>
    </x:xf>
    <x:xf numFmtId="0" fontId="14" fillId="8" borderId="0" xfId="0" applyNumberFormat="1" applyFont="1" applyFill="1" applyBorder="1" applyAlignment="1">
      <x:alignment vertical="center" wrapText="0"/>
    </x:xf>
    <x:xf numFmtId="200" fontId="14" fillId="8" borderId="0" xfId="0" applyNumberFormat="1" applyFont="1" applyFill="1" applyBorder="1" applyAlignment="1">
      <x:alignment vertical="center" wrapText="0"/>
    </x:xf>
    <x:xf numFmtId="201" fontId="14" fillId="8" borderId="0" xfId="0" applyNumberFormat="1" applyFont="1" applyFill="1" applyBorder="1" applyAlignment="1">
      <x:alignment vertical="center" wrapText="0"/>
    </x:xf>
    <x:xf numFmtId="0" fontId="10" fillId="2" borderId="2" xfId="0" applyNumberFormat="1" applyFont="1" applyFill="1" applyBorder="1" applyAlignment="1">
      <x:alignment vertical="center" wrapText="1"/>
    </x:xf>
    <x:xf numFmtId="0" fontId="6" fillId="6" borderId="2" xfId="0" applyNumberFormat="1" applyFont="1" applyFill="1" applyBorder="1" applyAlignment="1">
      <x:alignment vertical="center" wrapText="1"/>
    </x:xf>
    <x:xf numFmtId="0" fontId="14" fillId="8" borderId="0" xfId="0" applyNumberFormat="1" applyFont="1" applyFill="1" applyBorder="1" applyAlignment="1">
      <x:alignment vertical="center" wrapText="1"/>
    </x:xf>
    <x:xf numFmtId="0" fontId="4" fillId="0" borderId="0" xfId="0" applyNumberFormat="1" applyFont="1" applyFill="1" applyBorder="1" applyAlignment="1">
      <x:alignment vertical="bottom" wrapText="0"/>
    </x:xf>
    <x:xf numFmtId="0" fontId="7" fillId="0" borderId="2" xfId="0" applyNumberFormat="1" applyFont="1" applyFill="1" applyBorder="1" applyAlignment="1">
      <x:alignment vertical="bottom" wrapText="0"/>
    </x:xf>
    <x:xf numFmtId="0" fontId="6" fillId="6" borderId="2" xfId="0" applyNumberFormat="1" applyFont="1" applyFill="1" applyBorder="1" applyAlignment="1">
      <x:alignment vertical="bottom" wrapText="0"/>
    </x:xf>
    <x:xf numFmtId="0" fontId="4" fillId="0" borderId="0" xfId="0" applyNumberFormat="1" applyFont="1" applyFill="1" applyBorder="1" applyAlignment="1">
      <x:alignment vertical="center" wrapText="0"/>
    </x:xf>
    <x:xf numFmtId="0" fontId="7" fillId="0" borderId="2" xfId="0" applyNumberFormat="1" applyFont="1" applyFill="1" applyBorder="1" applyAlignment="1">
      <x:alignment vertical="center" wrapText="0"/>
    </x:xf>
    <x:xf numFmtId="209" fontId="14" fillId="8" borderId="0" xfId="0" applyNumberFormat="1" applyFont="1" applyFill="1" applyBorder="1" applyAlignment="1">
      <x:alignment vertical="center" wrapText="0"/>
    </x:xf>
    <x:xf numFmtId="210" fontId="14" fillId="8" borderId="0" xfId="0" applyNumberFormat="1" applyFont="1" applyFill="1" applyBorder="1" applyAlignment="1">
      <x:alignment vertical="center" wrapText="0"/>
    </x:xf>
  </x:cellXfs>
  <x:cellStyles count="1">
    <x:cellStyle name="Normal" xfId="0"/>
  </x:cellStyles>
  <x:dxfs count="4">
    <x:dxf>
      <x:font>
        <x:color rgb="FF991B1B"/>
      </x:font>
      <x:fill>
        <x:patternFill patternType="solid">
          <x:bgColor rgb="FFFECACA"/>
        </x:patternFill>
      </x:fill>
    </x:dxf>
    <x:dxf>
      <x:font>
        <x:color rgb="FF166534"/>
      </x:font>
      <x:fill>
        <x:patternFill patternType="solid">
          <x:bgColor rgb="FFDCFCE7"/>
        </x:patternFill>
      </x:fill>
    </x:dxf>
    <x:dxf>
      <x:font>
        <x:color rgb="FF991B1B"/>
      </x:font>
      <x:fill>
        <x:patternFill patternType="solid">
          <x:bgColor rgb="FFFECACA"/>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33efaeae9c4b79" /><Relationship Type="http://schemas.openxmlformats.org/officeDocument/2006/relationships/theme" Target="/xl/theme/theme1.xml" Id="R47817d1e3c9f4e80" /><Relationship Type="http://schemas.openxmlformats.org/officeDocument/2006/relationships/sharedStrings" Target="/xl/sharedStrings.xml" Id="R2ac9f90083bb4bae" /><Relationship Type="http://schemas.openxmlformats.org/officeDocument/2006/relationships/worksheet" Target="/xl/worksheets/sheet1.xml" Id="Re1d824cd7e384a7b" /><Relationship Type="http://schemas.openxmlformats.org/officeDocument/2006/relationships/worksheet" Target="/xl/worksheets/sheet2.xml" Id="R6716192ad41249d6" /><Relationship Type="http://schemas.openxmlformats.org/officeDocument/2006/relationships/worksheet" Target="/xl/worksheets/sheet3.xml" Id="R79e7ed8b9cb944e4" /><Relationship Type="http://schemas.openxmlformats.org/officeDocument/2006/relationships/worksheet" Target="/xl/worksheets/sheet4.xml" Id="Reed7f4260ff14439" /><Relationship Type="http://schemas.openxmlformats.org/officeDocument/2006/relationships/worksheet" Target="/xl/worksheets/sheet5.xml" Id="R976a34a41d244438" /><Relationship Type="http://schemas.openxmlformats.org/officeDocument/2006/relationships/worksheet" Target="/xl/worksheets/sheet6.xml" Id="Rcb44f75163b34354" /><Relationship Type="http://schemas.openxmlformats.org/officeDocument/2006/relationships/worksheet" Target="/xl/worksheets/sheet7.xml" Id="R203076ad099f4f0b"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925597c30faa4254" /><Relationship Type="http://schemas.openxmlformats.org/officeDocument/2006/relationships/vmlDrawing" Target="/xl/drawings/vmldrawing.vml" Id="Rf44d4e0af9c9407f" /></Relationships>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ColWidth="14.430000305175781" defaultRowHeight="15"/>
  <x:cols>
    <x:col min="1" max="1" width="64" hidden="0" customWidth="1"/>
    <x:col min="2" max="2" width="27" hidden="0" customWidth="1"/>
    <x:col min="3" max="8" width="15" customWidth="1"/>
    <x:col min="9" max="26" width="8.710000038146973" customWidth="1"/>
    <x:col min="3" max="3" width="15" hidden="0" customWidth="1"/>
    <x:col min="4" max="4" width="67" hidden="0" customWidth="1"/>
  </x:cols>
  <x:sheetData>
    <x:row r="1" ht="24" customHeight="1">
      <x:c r="A1" s="91" t="s">
        <x:v>0</x:v>
      </x:c>
      <x:c r="B1" s="92"/>
      <x:c r="C1" s="92"/>
      <x:c r="D1" s="92"/>
      <x:c r="E1" s="2"/>
      <x:c r="F1" s="2"/>
      <x:c r="G1" s="2"/>
      <x:c r="H1" s="2"/>
    </x:row>
    <x:row r="2">
      <x:c r="A2" s="93" t="s">
        <x:v>1</x:v>
      </x:c>
      <x:c r="B2" s="94"/>
      <x:c r="C2" s="94"/>
      <x:c r="D2" s="94"/>
    </x:row>
    <x:row r="3">
      <x:c r="A3" s="94"/>
      <x:c r="B3" s="94"/>
      <x:c r="C3" s="94"/>
      <x:c r="D3" s="121"/>
    </x:row>
    <x:row r="4">
      <x:c r="A4" s="184" t="s">
        <x:v>2</x:v>
      </x:c>
      <x:c r="B4" s="94"/>
      <x:c r="C4" s="94"/>
      <x:c r="D4" s="121"/>
    </x:row>
    <x:row r="5">
      <x:c r="A5" s="98" t="s">
        <x:v>3</x:v>
      </x:c>
      <x:c r="B5" s="97" t="s">
        <x:v>4</x:v>
      </x:c>
      <x:c r="C5" s="94"/>
      <x:c r="D5" s="121"/>
    </x:row>
    <x:row r="6">
      <x:c r="A6" s="139" t="s">
        <x:v>5</x:v>
      </x:c>
      <x:c r="B6" s="97" t="s">
        <x:v>6</x:v>
      </x:c>
      <x:c r="C6" s="94"/>
      <x:c r="D6" s="121"/>
    </x:row>
    <x:row r="7">
      <x:c r="A7" s="185" t="s">
        <x:v>7</x:v>
      </x:c>
      <x:c r="B7" s="97" t="s">
        <x:v>8</x:v>
      </x:c>
      <x:c r="C7" s="94"/>
      <x:c r="D7" s="121"/>
    </x:row>
    <x:row r="8">
      <x:c r="A8" s="174" t="s">
        <x:v>9</x:v>
      </x:c>
      <x:c r="B8" s="97" t="s">
        <x:v>10</x:v>
      </x:c>
      <x:c r="C8" s="94"/>
      <x:c r="D8" s="121"/>
    </x:row>
    <x:row r="9">
      <x:c r="A9" s="94"/>
      <x:c r="B9" s="94"/>
      <x:c r="C9" s="94"/>
      <x:c r="D9" s="121"/>
    </x:row>
    <x:row r="10">
      <x:c r="A10" s="184" t="s">
        <x:v>11</x:v>
      </x:c>
      <x:c r="B10" s="94"/>
      <x:c r="C10" s="94"/>
      <x:c r="D10" s="121"/>
    </x:row>
    <x:row r="11">
      <x:c r="A11" s="105" t="s">
        <x:v>12</x:v>
      </x:c>
      <x:c r="B11" s="97" t="s">
        <x:v>13</x:v>
      </x:c>
      <x:c r="C11" s="94"/>
      <x:c r="D11" s="121"/>
    </x:row>
    <x:row r="12">
      <x:c r="A12" s="105" t="s">
        <x:v>14</x:v>
      </x:c>
      <x:c r="B12" s="97" t="s">
        <x:v>15</x:v>
      </x:c>
      <x:c r="C12" s="94"/>
      <x:c r="D12" s="121"/>
    </x:row>
    <x:row r="13">
      <x:c r="A13" s="105" t="s">
        <x:v>16</x:v>
      </x:c>
      <x:c r="B13" s="97" t="s">
        <x:v>17</x:v>
      </x:c>
      <x:c r="C13" s="94"/>
      <x:c r="D13" s="121"/>
    </x:row>
    <x:row r="14">
      <x:c r="A14" s="105" t="s">
        <x:v>18</x:v>
      </x:c>
      <x:c r="B14" s="97" t="s">
        <x:v>19</x:v>
      </x:c>
      <x:c r="C14" s="94"/>
      <x:c r="D14" s="121"/>
    </x:row>
    <x:row r="15">
      <x:c r="A15" s="105" t="s">
        <x:v>20</x:v>
      </x:c>
      <x:c r="B15" s="97" t="s">
        <x:v>21</x:v>
      </x:c>
      <x:c r="C15" s="94"/>
      <x:c r="D15" s="121"/>
    </x:row>
    <x:row r="16">
      <x:c r="A16" s="105" t="s">
        <x:v>22</x:v>
      </x:c>
      <x:c r="B16" s="97" t="s">
        <x:v>23</x:v>
      </x:c>
      <x:c r="C16" s="94"/>
      <x:c r="D16" s="121"/>
    </x:row>
    <x:row r="17">
      <x:c r="A17" s="94"/>
      <x:c r="B17" s="94"/>
      <x:c r="C17" s="94"/>
      <x:c r="D17" s="121"/>
    </x:row>
    <x:row r="18">
      <x:c r="A18" s="184" t="s">
        <x:v>24</x:v>
      </x:c>
      <x:c r="B18" s="94"/>
      <x:c r="C18" s="94"/>
      <x:c r="D18" s="121"/>
    </x:row>
    <x:row r="19">
      <x:c r="A19" s="97" t="s">
        <x:v>25</x:v>
      </x:c>
      <x:c r="B19" s="94"/>
      <x:c r="C19" s="94"/>
      <x:c r="D19" s="121"/>
    </x:row>
    <x:row r="20">
      <x:c r="A20" s="97" t="s">
        <x:v>26</x:v>
      </x:c>
      <x:c r="B20" s="94"/>
      <x:c r="C20" s="94"/>
      <x:c r="D20" s="121"/>
    </x:row>
    <x:row r="21" ht="15.75" customHeight="1">
      <x:c r="A21" s="97" t="s">
        <x:v>27</x:v>
      </x:c>
      <x:c r="B21" s="94"/>
      <x:c r="C21" s="94"/>
      <x:c r="D21" s="121"/>
    </x:row>
    <x:row r="22" ht="15.75" customHeight="1">
      <x:c r="A22" s="94"/>
      <x:c r="B22" s="94"/>
      <x:c r="C22" s="94"/>
      <x:c r="D22" s="121"/>
    </x:row>
    <x:row r="23" ht="15.75" customHeight="1">
      <x:c r="A23" s="93" t="s">
        <x:v>28</x:v>
      </x:c>
      <x:c r="B23" s="94"/>
      <x:c r="C23" s="94"/>
      <x:c r="D23" s="121"/>
    </x:row>
    <x:row r="24" ht="15.75" customHeight="1">
      <x:c r="A24" s="93" t="s">
        <x:v>29</x:v>
      </x:c>
      <x:c r="B24" s="94"/>
      <x:c r="C24" s="94"/>
      <x:c r="D24" s="121"/>
    </x:row>
    <x:row r="25" ht="15.75" customHeight="1">
      <x:c r="A25" s="94"/>
      <x:c r="B25" s="94"/>
      <x:c r="C25" s="94"/>
      <x:c r="D25" s="121"/>
    </x:row>
    <x:row r="26" ht="15.75" customHeight="1">
      <x:c r="A26" s="94"/>
      <x:c r="B26" s="94"/>
      <x:c r="C26" s="94"/>
      <x:c r="D26" s="121"/>
    </x:row>
    <x:row r="27" ht="25" customHeight="1">
      <x:c r="A27" s="113" t="str">
        <x:v>BÀI DAY 22 — PHÙNG GIA KHÁNH — RAV-26 / P-026</x:v>
      </x:c>
      <x:c r="B27" s="113" t="str">
        <x:v>BÀI DAY 22 — PHÙNG GIA KHÁNH — RAV-26 / P-026</x:v>
      </x:c>
      <x:c r="C27" s="113" t="str">
        <x:v>BÀI DAY 22 — PHÙNG GIA KHÁNH — RAV-26 / P-026</x:v>
      </x:c>
      <x:c r="D27" s="124" t="str">
        <x:v>BÀI DAY 22 — PHÙNG GIA KHÁNH — RAV-26 / P-026</x:v>
      </x:c>
    </x:row>
    <x:row r="28" ht="50" customHeight="1">
      <x:c r="A28" s="54" t="str">
        <x:v>Bài này dùng sản phẩm thật theo mô tả người dùng; giá và kênh là giả thuyết thử nghiệm, chưa có khách trả tiền. Các số vận hành không được trình bày như kết quả pilot. Repo chưa truy cập được (404).</x:v>
      </x:c>
      <x:c r="B28" s="54" t="str">
        <x:v>Bài này dùng sản phẩm thật theo mô tả người dùng; giá và kênh là giả thuyết thử nghiệm, chưa có khách trả tiền. Các số vận hành không được trình bày như kết quả pilot. Repo chưa truy cập được (404).</x:v>
      </x:c>
      <x:c r="C28" s="54" t="str">
        <x:v>Bài này dùng sản phẩm thật theo mô tả người dùng; giá và kênh là giả thuyết thử nghiệm, chưa có khách trả tiền. Các số vận hành không được trình bày như kết quả pilot. Repo chưa truy cập được (404).</x:v>
      </x:c>
      <x:c r="D28" s="54" t="str">
        <x:v>Bài này dùng sản phẩm thật theo mô tả người dùng; giá và kênh là giả thuyết thử nghiệm, chưa có khách trả tiền. Các số vận hành không được trình bày như kết quả pilot. Repo chưa truy cập được (404).</x:v>
      </x:c>
    </x:row>
    <x:row r="29" ht="50" customHeight="1">
      <x:c r="A29" s="54" t="str">
        <x:v>Template có tiêu đề DAY 28 và calculator CSKH; giữ nguyên nhãn/công thức mẫu. Phần bổ sung RAV-26 phía dưới mỗi tab giải thích đơn vị batch, CV compute, Hybrid và nguồn số. 5 tab làm việc + README và Benchmarks đúng cấu trúc gốc.</x:v>
      </x:c>
      <x:c r="B29" s="54" t="str">
        <x:v>Template có tiêu đề DAY 28 và calculator CSKH; giữ nguyên nhãn/công thức mẫu. Phần bổ sung RAV-26 phía dưới mỗi tab giải thích đơn vị batch, CV compute, Hybrid và nguồn số. 5 tab làm việc + README và Benchmarks đúng cấu trúc gốc.</x:v>
      </x:c>
      <x:c r="C29" s="54" t="str">
        <x:v>Template có tiêu đề DAY 28 và calculator CSKH; giữ nguyên nhãn/công thức mẫu. Phần bổ sung RAV-26 phía dưới mỗi tab giải thích đơn vị batch, CV compute, Hybrid và nguồn số. 5 tab làm việc + README và Benchmarks đúng cấu trúc gốc.</x:v>
      </x:c>
      <x:c r="D29" s="54" t="str">
        <x:v>Template có tiêu đề DAY 28 và calculator CSKH; giữ nguyên nhãn/công thức mẫu. Phần bổ sung RAV-26 phía dưới mỗi tab giải thích đơn vị batch, CV compute, Hybrid và nguồn số. 5 tab làm việc + README và Benchmarks đúng cấu trúc gốc.</x:v>
      </x:c>
    </x:row>
    <x:row r="30" ht="50" customHeight="1">
      <x:c r="A30" s="54" t="str">
        <x:v>Chỉ đổi nội dung ô vàng có sẵn. Đã thêm các block cần thiết trong cùng 7 tab: input vàng, công thức mới xám. Không đổi công thức xám gốc, không sửa bảng giá mẫu 26/08/2026; bảng giá hiện dùng đặt ở 6_Benchmarks!A45:D62.</x:v>
      </x:c>
      <x:c r="B30" s="54" t="str">
        <x:v>Chỉ đổi nội dung ô vàng có sẵn. Đã thêm các block cần thiết trong cùng 7 tab: input vàng, công thức mới xám. Không đổi công thức xám gốc, không sửa bảng giá mẫu 26/08/2026; bảng giá hiện dùng đặt ở 6_Benchmarks!A45:D62.</x:v>
      </x:c>
      <x:c r="C30" s="54" t="str">
        <x:v>Chỉ đổi nội dung ô vàng có sẵn. Đã thêm các block cần thiết trong cùng 7 tab: input vàng, công thức mới xám. Không đổi công thức xám gốc, không sửa bảng giá mẫu 26/08/2026; bảng giá hiện dùng đặt ở 6_Benchmarks!A45:D62.</x:v>
      </x:c>
      <x:c r="D30" s="54" t="str">
        <x:v>Chỉ đổi nội dung ô vàng có sẵn. Đã thêm các block cần thiết trong cùng 7 tab: input vàng, công thức mới xám. Không đổi công thức xám gốc, không sửa bảng giá mẫu 26/08/2026; bảng giá hiện dùng đặt ở 6_Benchmarks!A45:D62.</x:v>
      </x:c>
    </x:row>
    <x:row r="31" ht="50" customHeight="1">
      <x:c r="A31" s="54" t="str">
        <x:v>Các ô gốc B10/B33 có chữ containment: đọc là completion kỹ thuật, không phải autonomy. Ngưỡng Hybrid thực tế ở 2_Pricing!B64; nguyên mẫu B33 là ngưỡng giá hiệu dụng cố định.</x:v>
      </x:c>
      <x:c r="B31" s="54" t="str">
        <x:v>Các ô gốc B10/B33 có chữ containment: đọc là completion kỹ thuật, không phải autonomy. Ngưỡng Hybrid thực tế ở 2_Pricing!B64; nguyên mẫu B33 là ngưỡng giá hiệu dụng cố định.</x:v>
      </x:c>
      <x:c r="C31" s="54" t="str">
        <x:v>Các ô gốc B10/B33 có chữ containment: đọc là completion kỹ thuật, không phải autonomy. Ngưỡng Hybrid thực tế ở 2_Pricing!B64; nguyên mẫu B33 là ngưỡng giá hiệu dụng cố định.</x:v>
      </x:c>
      <x:c r="D31" s="54" t="str">
        <x:v>Các ô gốc B10/B33 có chữ containment: đọc là completion kỹ thuật, không phải autonomy. Ngưỡng Hybrid thực tế ở 2_Pricing!B64; nguyên mẫu B33 là ngưỡng giá hiệu dụng cố định.</x:v>
      </x:c>
    </x:row>
    <x:row r="32" ht="50" customHeight="1">
      <x:c r="A32" s="54" t="str">
        <x:v>Giá USD trước VAT, FX là USD sell Vietcombank ngày 08/10/2026. API LLM/voice =0 có lý do, GPU tính vào Infra; retry GPU trong 1_Cost_Job!B109/B118. R&amp;D/Sales tách OPEX, GM không phải lợi nhuận ròng.</x:v>
      </x:c>
      <x:c r="B32" s="54" t="str">
        <x:v>Giá USD trước VAT, FX là USD sell Vietcombank ngày 08/10/2026. API LLM/voice =0 có lý do, GPU tính vào Infra; retry GPU trong 1_Cost_Job!B109/B118. R&amp;D/Sales tách OPEX, GM không phải lợi nhuận ròng.</x:v>
      </x:c>
      <x:c r="C32" s="54" t="str">
        <x:v>Giá USD trước VAT, FX là USD sell Vietcombank ngày 08/10/2026. API LLM/voice =0 có lý do, GPU tính vào Infra; retry GPU trong 1_Cost_Job!B109/B118. R&amp;D/Sales tách OPEX, GM không phải lợi nhuận ròng.</x:v>
      </x:c>
      <x:c r="D32" s="54" t="str">
        <x:v>Giá USD trước VAT, FX là USD sell Vietcombank ngày 08/10/2026. API LLM/voice =0 có lý do, GPU tính vào Infra; retry GPU trong 1_Cost_Job!B109/B118. R&amp;D/Sales tách OPEX, GM không phải lợi nhuận ròng.</x:v>
      </x:c>
    </x:row>
    <x:row r="33" ht="50" customHeight="1">
      <x:c r="A33" s="54" t="str">
        <x:v>Evidence: xem evidence/ gồm Eval Results readiness, Procurement Q&amp;A draft và Pilot Report protocol. Chưa có customer eval/mAP hay pilot; có owner/deadline. Phản biện AI được ghi accept/reject/partial trong critique_log.md, cần chủ bài rà soát quyết định trước nộp.</x:v>
      </x:c>
      <x:c r="B33" s="54" t="str">
        <x:v>Evidence: xem evidence/ gồm Eval Results readiness, Procurement Q&amp;A draft và Pilot Report protocol. Chưa có customer eval/mAP hay pilot; có owner/deadline. Phản biện AI được ghi accept/reject/partial trong critique_log.md, cần chủ bài rà soát quyết định trước nộp.</x:v>
      </x:c>
      <x:c r="C33" s="54" t="str">
        <x:v>Evidence: xem evidence/ gồm Eval Results readiness, Procurement Q&amp;A draft và Pilot Report protocol. Chưa có customer eval/mAP hay pilot; có owner/deadline. Phản biện AI được ghi accept/reject/partial trong critique_log.md, cần chủ bài rà soát quyết định trước nộp.</x:v>
      </x:c>
      <x:c r="D33" s="54" t="str">
        <x:v>Evidence: xem evidence/ gồm Eval Results readiness, Procurement Q&amp;A draft và Pilot Report protocol. Chưa có customer eval/mAP hay pilot; có owner/deadline. Phản biện AI được ghi accept/reject/partial trong critique_log.md, cần chủ bài rà soát quyết định trước nộp.</x:v>
      </x:c>
    </x:row>
    <x:row r="34" ht="50" customHeight="1">
      <x:c r="A34" s="54" t="str">
        <x:v>One-Pager giữ 3 khối của mẫu DOCX và nén về 1 trang PDF theo yêu cầu. Mọi số đều có cell reference. Stranger test bằng người thật còn chờ; không tự công bố đã pass.</x:v>
      </x:c>
      <x:c r="B34" s="54" t="str">
        <x:v>One-Pager giữ 3 khối của mẫu DOCX và nén về 1 trang PDF theo yêu cầu. Mọi số đều có cell reference. Stranger test bằng người thật còn chờ; không tự công bố đã pass.</x:v>
      </x:c>
      <x:c r="C34" s="54" t="str">
        <x:v>One-Pager giữ 3 khối của mẫu DOCX và nén về 1 trang PDF theo yêu cầu. Mọi số đều có cell reference. Stranger test bằng người thật còn chờ; không tự công bố đã pass.</x:v>
      </x:c>
      <x:c r="D34" s="54" t="str">
        <x:v>One-Pager giữ 3 khối của mẫu DOCX và nén về 1 trang PDF theo yêu cầu. Mọi số đều có cell reference. Stranger test bằng người thật còn chờ; không tự công bố đã pass.</x:v>
      </x:c>
    </x:row>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27:D27"/>
    <x:mergeCell ref="A28:D28"/>
    <x:mergeCell ref="A29:D29"/>
    <x:mergeCell ref="A30:D30"/>
    <x:mergeCell ref="A31:D31"/>
    <x:mergeCell ref="A32:D32"/>
    <x:mergeCell ref="A33:D33"/>
    <x:mergeCell ref="A34:D34"/>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ColWidth="14.430000305175781" defaultRowHeight="15"/>
  <x:cols>
    <x:col min="1" max="1" width="64" hidden="0" customWidth="1"/>
    <x:col min="2" max="3" width="16" customWidth="1"/>
    <x:col min="4" max="4" width="67" hidden="0" customWidth="1"/>
    <x:col min="5" max="8" width="15" customWidth="1"/>
    <x:col min="9" max="26" width="8.710000038146973" customWidth="1"/>
    <x:col min="2" max="2" width="27" hidden="0" customWidth="1"/>
    <x:col min="3" max="3" width="15" hidden="0" customWidth="1"/>
  </x:cols>
  <x:sheetData>
    <x:row r="1" ht="24" customHeight="1">
      <x:c r="A1" s="91" t="s">
        <x:v>30</x:v>
      </x:c>
      <x:c r="B1" s="92"/>
      <x:c r="C1" s="92"/>
      <x:c r="D1" s="92"/>
      <x:c r="E1" s="2"/>
      <x:c r="F1" s="2"/>
      <x:c r="G1" s="2"/>
      <x:c r="H1" s="2"/>
    </x:row>
    <x:row r="2">
      <x:c r="A2" s="93" t="s">
        <x:v>31</x:v>
      </x:c>
      <x:c r="B2" s="94"/>
      <x:c r="C2" s="94"/>
      <x:c r="D2" s="94"/>
    </x:row>
    <x:row r="3">
      <x:c r="A3" s="94"/>
      <x:c r="B3" s="94"/>
      <x:c r="C3" s="94"/>
      <x:c r="D3" s="121"/>
    </x:row>
    <x:row r="4">
      <x:c r="A4" s="95" t="s">
        <x:v>32</x:v>
      </x:c>
      <x:c r="B4" s="96"/>
      <x:c r="C4" s="96"/>
      <x:c r="D4" s="122"/>
      <x:c r="E4" s="10"/>
      <x:c r="F4" s="10"/>
      <x:c r="G4" s="10"/>
      <x:c r="H4" s="10"/>
    </x:row>
    <x:row r="5" ht="100" customHeight="1">
      <x:c r="A5" s="97" t="s">
        <x:v>33</x:v>
      </x:c>
      <x:c r="B5" s="154" t="str">
        <x:v>1 batch tối đa 1.000 frame đã PII gate, có scores/shortlist + manifest theo model/data version; Reviewer khách duyệt và xuất thành công, đếm 1 lần/job_id.</x:v>
      </x:c>
      <x:c r="C5" s="94"/>
      <x:c r="D5" s="123" t="s">
        <x:v>34</x:v>
      </x:c>
    </x:row>
    <x:row r="6">
      <x:c r="A6" s="97" t="s">
        <x:v>35</x:v>
      </x:c>
      <x:c r="B6" s="99" t="str">
        <x:v>A</x:v>
      </x:c>
      <x:c r="C6" s="94"/>
      <x:c r="D6" s="123" t="s">
        <x:v>36</x:v>
      </x:c>
    </x:row>
    <x:row r="7">
      <x:c r="A7" s="94"/>
      <x:c r="B7" s="94"/>
      <x:c r="C7" s="94"/>
      <x:c r="D7" s="121"/>
    </x:row>
    <x:row r="8">
      <x:c r="A8" s="95" t="s">
        <x:v>37</x:v>
      </x:c>
      <x:c r="B8" s="96"/>
      <x:c r="C8" s="96"/>
      <x:c r="D8" s="122"/>
      <x:c r="E8" s="10"/>
      <x:c r="F8" s="10"/>
      <x:c r="G8" s="10"/>
      <x:c r="H8" s="10"/>
    </x:row>
    <x:row r="9">
      <x:c r="A9" s="97" t="s">
        <x:v>38</x:v>
      </x:c>
      <x:c r="B9" s="100" t="n">
        <x:v>20</x:v>
      </x:c>
      <x:c r="C9" s="93" t="s">
        <x:v>39</x:v>
      </x:c>
      <x:c r="D9" s="121"/>
    </x:row>
    <x:row r="10">
      <x:c r="A10" s="97" t="s">
        <x:v>40</x:v>
      </x:c>
      <x:c r="B10" s="101" t="n">
        <x:v>0.9</x:v>
      </x:c>
      <x:c r="C10" s="94"/>
      <x:c r="D10" s="123" t="s">
        <x:v>41</x:v>
      </x:c>
    </x:row>
    <x:row r="11">
      <x:c r="A11" s="97" t="s">
        <x:v>42</x:v>
      </x:c>
      <x:c r="B11" s="102" t="n">
        <x:f>B9*B10</x:f>
        <x:v>18</x:v>
      </x:c>
      <x:c r="C11" s="93" t="s">
        <x:v>39</x:v>
      </x:c>
      <x:c r="D11" s="123" t="s">
        <x:v>43</x:v>
      </x:c>
    </x:row>
    <x:row r="12">
      <x:c r="A12" s="97" t="s">
        <x:v>44</x:v>
      </x:c>
      <x:c r="B12" s="102" t="n">
        <x:f>B9-B11</x:f>
        <x:v>2</x:v>
      </x:c>
      <x:c r="C12" s="93" t="s">
        <x:v>39</x:v>
      </x:c>
      <x:c r="D12" s="123" t="s">
        <x:v>45</x:v>
      </x:c>
    </x:row>
    <x:row r="13">
      <x:c r="A13" s="94"/>
      <x:c r="B13" s="94"/>
      <x:c r="C13" s="94"/>
      <x:c r="D13" s="121"/>
    </x:row>
    <x:row r="14">
      <x:c r="A14" s="95" t="s">
        <x:v>46</x:v>
      </x:c>
      <x:c r="B14" s="96"/>
      <x:c r="C14" s="96"/>
      <x:c r="D14" s="122"/>
      <x:c r="E14" s="10"/>
      <x:c r="F14" s="10"/>
      <x:c r="G14" s="10"/>
      <x:c r="H14" s="10"/>
    </x:row>
    <x:row r="15">
      <x:c r="A15" s="97" t="s">
        <x:v>47</x:v>
      </x:c>
      <x:c r="B15" s="103" t="n">
        <x:v>0</x:v>
      </x:c>
      <x:c r="C15" s="94"/>
      <x:c r="D15" s="123" t="s">
        <x:v>48</x:v>
      </x:c>
    </x:row>
    <x:row r="16">
      <x:c r="A16" s="97" t="s">
        <x:v>49</x:v>
      </x:c>
      <x:c r="B16" s="103" t="n">
        <x:v>0</x:v>
      </x:c>
      <x:c r="C16" s="94"/>
      <x:c r="D16" s="121"/>
    </x:row>
    <x:row r="17">
      <x:c r="A17" s="97" t="s">
        <x:v>50</x:v>
      </x:c>
      <x:c r="B17" s="103" t="n">
        <x:v>0</x:v>
      </x:c>
      <x:c r="C17" s="94"/>
      <x:c r="D17" s="123" t="s">
        <x:v>51</x:v>
      </x:c>
    </x:row>
    <x:row r="18">
      <x:c r="A18" s="97" t="s">
        <x:v>52</x:v>
      </x:c>
      <x:c r="B18" s="103" t="n">
        <x:v>0</x:v>
      </x:c>
      <x:c r="C18" s="94"/>
      <x:c r="D18" s="123" t="s">
        <x:v>53</x:v>
      </x:c>
    </x:row>
    <x:row r="19">
      <x:c r="A19" s="97" t="s">
        <x:v>54</x:v>
      </x:c>
      <x:c r="B19" s="100" t="n">
        <x:v>1</x:v>
      </x:c>
      <x:c r="C19" s="93" t="s">
        <x:v>55</x:v>
      </x:c>
      <x:c r="D19" s="121"/>
    </x:row>
    <x:row r="20">
      <x:c r="A20" s="97" t="s">
        <x:v>56</x:v>
      </x:c>
      <x:c r="B20" s="100" t="n">
        <x:v>0</x:v>
      </x:c>
      <x:c r="C20" s="93" t="s">
        <x:v>57</x:v>
      </x:c>
      <x:c r="D20" s="123" t="s">
        <x:v>58</x:v>
      </x:c>
    </x:row>
    <x:row r="21" ht="15.75" customHeight="1">
      <x:c r="A21" s="97" t="s">
        <x:v>59</x:v>
      </x:c>
      <x:c r="B21" s="100" t="n">
        <x:v>0</x:v>
      </x:c>
      <x:c r="C21" s="93" t="s">
        <x:v>57</x:v>
      </x:c>
      <x:c r="D21" s="123" t="s">
        <x:v>60</x:v>
      </x:c>
    </x:row>
    <x:row r="22" ht="15.75" customHeight="1">
      <x:c r="A22" s="97" t="s">
        <x:v>61</x:v>
      </x:c>
      <x:c r="B22" s="100" t="n">
        <x:v>0</x:v>
      </x:c>
      <x:c r="C22" s="93" t="s">
        <x:v>57</x:v>
      </x:c>
      <x:c r="D22" s="121"/>
    </x:row>
    <x:row r="23" ht="15.75" customHeight="1">
      <x:c r="A23" s="97" t="s">
        <x:v>62</x:v>
      </x:c>
      <x:c r="B23" s="104" t="n">
        <x:f>B20*B17/1000000</x:f>
        <x:v>0</x:v>
      </x:c>
      <x:c r="C23" s="94"/>
      <x:c r="D23" s="121"/>
    </x:row>
    <x:row r="24" ht="15.75" customHeight="1">
      <x:c r="A24" s="97" t="s">
        <x:v>63</x:v>
      </x:c>
      <x:c r="B24" s="104" t="n">
        <x:f>(B19-1)*B20*B18/1000000</x:f>
        <x:v>0</x:v>
      </x:c>
      <x:c r="C24" s="94"/>
      <x:c r="D24" s="121"/>
    </x:row>
    <x:row r="25" ht="15.75" customHeight="1">
      <x:c r="A25" s="97" t="s">
        <x:v>64</x:v>
      </x:c>
      <x:c r="B25" s="104" t="n">
        <x:f>B19*B21*B15/1000000</x:f>
        <x:v>0</x:v>
      </x:c>
      <x:c r="C25" s="94"/>
      <x:c r="D25" s="121"/>
    </x:row>
    <x:row r="26" ht="15.75" customHeight="1">
      <x:c r="A26" s="97" t="s">
        <x:v>65</x:v>
      </x:c>
      <x:c r="B26" s="104" t="n">
        <x:f>B19*B22*B16/1000000</x:f>
        <x:v>0</x:v>
      </x:c>
      <x:c r="C26" s="94"/>
      <x:c r="D26" s="121"/>
    </x:row>
    <x:row r="27" ht="15.75" customHeight="1">
      <x:c r="A27" s="105" t="s">
        <x:v>66</x:v>
      </x:c>
      <x:c r="B27" s="106" t="n">
        <x:f>SUM(B23:B26)</x:f>
        <x:v>0</x:v>
      </x:c>
      <x:c r="C27" s="94"/>
      <x:c r="D27" s="121"/>
    </x:row>
    <x:row r="28" ht="15.75" customHeight="1">
      <x:c r="A28" s="97" t="s">
        <x:v>67</x:v>
      </x:c>
      <x:c r="B28" s="104" t="n">
        <x:f>B19*(B20+B21)*B15/1000000+B26</x:f>
        <x:v>0</x:v>
      </x:c>
      <x:c r="C28" s="94"/>
      <x:c r="D28" s="121"/>
    </x:row>
    <x:row r="29" ht="15.75" customHeight="1">
      <x:c r="A29" s="97" t="s">
        <x:v>68</x:v>
      </x:c>
      <x:c r="B29" s="107" t="n">
        <x:f>IF(B28=0,0,1-B27/B28)</x:f>
        <x:v>0</x:v>
      </x:c>
      <x:c r="C29" s="94"/>
      <x:c r="D29" s="123" t="s">
        <x:v>69</x:v>
      </x:c>
    </x:row>
    <x:row r="30" ht="15.75" customHeight="1">
      <x:c r="A30" s="97" t="s">
        <x:v>70</x:v>
      </x:c>
      <x:c r="B30" s="100" t="n">
        <x:v>0</x:v>
      </x:c>
      <x:c r="C30" s="94"/>
      <x:c r="D30" s="123" t="s">
        <x:v>71</x:v>
      </x:c>
    </x:row>
    <x:row r="31" ht="15.75" customHeight="1">
      <x:c r="A31" s="105" t="s">
        <x:v>72</x:v>
      </x:c>
      <x:c r="B31" s="106" t="n">
        <x:f>B27*(1-B30*0.5)</x:f>
        <x:v>0</x:v>
      </x:c>
      <x:c r="C31" s="94"/>
      <x:c r="D31" s="121"/>
    </x:row>
    <x:row r="32" ht="15.75" customHeight="1">
      <x:c r="A32" s="94"/>
      <x:c r="B32" s="94"/>
      <x:c r="C32" s="94"/>
      <x:c r="D32" s="121"/>
    </x:row>
    <x:row r="33" ht="15.75" customHeight="1">
      <x:c r="A33" s="95" t="s">
        <x:v>73</x:v>
      </x:c>
      <x:c r="B33" s="96"/>
      <x:c r="C33" s="96"/>
      <x:c r="D33" s="122"/>
      <x:c r="E33" s="10"/>
      <x:c r="F33" s="10"/>
      <x:c r="G33" s="10"/>
      <x:c r="H33" s="10"/>
    </x:row>
    <x:row r="34" ht="15.75" customHeight="1">
      <x:c r="A34" s="97" t="s">
        <x:v>74</x:v>
      </x:c>
      <x:c r="B34" s="108" t="n">
        <x:v>0</x:v>
      </x:c>
      <x:c r="C34" s="94"/>
      <x:c r="D34" s="123" t="s">
        <x:v>75</x:v>
      </x:c>
    </x:row>
    <x:row r="35" ht="15.75" customHeight="1">
      <x:c r="A35" s="97" t="s">
        <x:v>76</x:v>
      </x:c>
      <x:c r="B35" s="109" t="n">
        <x:v>0</x:v>
      </x:c>
      <x:c r="C35" s="93" t="s">
        <x:v>77</x:v>
      </x:c>
      <x:c r="D35" s="121"/>
    </x:row>
    <x:row r="36" ht="15.75" customHeight="1">
      <x:c r="A36" s="97" t="s">
        <x:v>78</x:v>
      </x:c>
      <x:c r="B36" s="103" t="n">
        <x:v>0</x:v>
      </x:c>
      <x:c r="C36" s="94"/>
      <x:c r="D36" s="123" t="s">
        <x:v>79</x:v>
      </x:c>
    </x:row>
    <x:row r="37" ht="15.75" customHeight="1">
      <x:c r="A37" s="97" t="s">
        <x:v>80</x:v>
      </x:c>
      <x:c r="B37" s="100" t="n">
        <x:v>0</x:v>
      </x:c>
      <x:c r="C37" s="93" t="s">
        <x:v>81</x:v>
      </x:c>
      <x:c r="D37" s="123" t="s">
        <x:v>82</x:v>
      </x:c>
    </x:row>
    <x:row r="38" ht="15.75" customHeight="1">
      <x:c r="A38" s="97" t="s">
        <x:v>83</x:v>
      </x:c>
      <x:c r="B38" s="104" t="n">
        <x:f>B34*B35+B36*B37/1000000</x:f>
        <x:v>0</x:v>
      </x:c>
      <x:c r="C38" s="94"/>
      <x:c r="D38" s="121"/>
    </x:row>
    <x:row r="39" ht="15.75" customHeight="1">
      <x:c r="A39" s="94"/>
      <x:c r="B39" s="94"/>
      <x:c r="C39" s="94"/>
      <x:c r="D39" s="121"/>
    </x:row>
    <x:row r="40" ht="15.75" customHeight="1">
      <x:c r="A40" s="95" t="s">
        <x:v>84</x:v>
      </x:c>
      <x:c r="B40" s="96"/>
      <x:c r="C40" s="96"/>
      <x:c r="D40" s="122"/>
      <x:c r="E40" s="10"/>
      <x:c r="F40" s="10"/>
      <x:c r="G40" s="10"/>
      <x:c r="H40" s="10"/>
    </x:row>
    <x:row r="41" ht="15.75" customHeight="1">
      <x:c r="A41" s="97" t="s">
        <x:v>85</x:v>
      </x:c>
      <x:c r="B41" s="108" t="n">
        <x:f>B114</x:f>
        <x:v>47.1133107</x:v>
      </x:c>
      <x:c r="C41" s="94"/>
      <x:c r="D41" s="123" t="s">
        <x:v>86</x:v>
      </x:c>
    </x:row>
    <x:row r="42" ht="15.75" customHeight="1">
      <x:c r="A42" s="97" t="s">
        <x:v>87</x:v>
      </x:c>
      <x:c r="B42" s="108" t="n">
        <x:v>0</x:v>
      </x:c>
      <x:c r="C42" s="94"/>
      <x:c r="D42" s="121"/>
    </x:row>
    <x:row r="43" ht="15.75" customHeight="1">
      <x:c r="A43" s="97" t="s">
        <x:v>88</x:v>
      </x:c>
      <x:c r="B43" s="104" t="n">
        <x:f>B41+B42*B35</x:f>
        <x:v>47.1133107</x:v>
      </x:c>
      <x:c r="C43" s="94"/>
      <x:c r="D43" s="121"/>
    </x:row>
    <x:row r="44" ht="15.75" customHeight="1">
      <x:c r="A44" s="94"/>
      <x:c r="B44" s="94"/>
      <x:c r="C44" s="94"/>
      <x:c r="D44" s="121"/>
    </x:row>
    <x:row r="45" ht="15.75" customHeight="1">
      <x:c r="A45" s="95" t="s">
        <x:v>89</x:v>
      </x:c>
      <x:c r="B45" s="96"/>
      <x:c r="C45" s="96"/>
      <x:c r="D45" s="122"/>
      <x:c r="E45" s="10"/>
      <x:c r="F45" s="10"/>
      <x:c r="G45" s="10"/>
      <x:c r="H45" s="10"/>
    </x:row>
    <x:row r="46" ht="15.75" customHeight="1">
      <x:c r="A46" s="97" t="s">
        <x:v>90</x:v>
      </x:c>
      <x:c r="B46" s="101" t="n">
        <x:v>0.08</x:v>
      </x:c>
      <x:c r="C46" s="94"/>
      <x:c r="D46" s="123" t="s">
        <x:v>91</x:v>
      </x:c>
    </x:row>
    <x:row r="47" ht="15.75" customHeight="1">
      <x:c r="A47" s="97" t="s">
        <x:v>92</x:v>
      </x:c>
      <x:c r="B47" s="104" t="n">
        <x:f>(B31+B38)*B46</x:f>
        <x:v>0</x:v>
      </x:c>
      <x:c r="C47" s="94"/>
      <x:c r="D47" s="121"/>
    </x:row>
    <x:row r="48" ht="15.75" customHeight="1">
      <x:c r="A48" s="94"/>
      <x:c r="B48" s="94"/>
      <x:c r="C48" s="94"/>
      <x:c r="D48" s="121"/>
    </x:row>
    <x:row r="49" ht="15.75" customHeight="1">
      <x:c r="A49" s="95" t="s">
        <x:v>93</x:v>
      </x:c>
      <x:c r="B49" s="96"/>
      <x:c r="C49" s="96"/>
      <x:c r="D49" s="122"/>
      <x:c r="E49" s="10"/>
      <x:c r="F49" s="10"/>
      <x:c r="G49" s="10"/>
      <x:c r="H49" s="10"/>
    </x:row>
    <x:row r="50" ht="15.75" customHeight="1">
      <x:c r="A50" s="97" t="s">
        <x:v>94</x:v>
      </x:c>
      <x:c r="B50" s="103" t="n">
        <x:f>B102</x:f>
        <x:v>25</x:v>
      </x:c>
      <x:c r="C50" s="94"/>
      <x:c r="D50" s="123" t="s">
        <x:v>95</x:v>
      </x:c>
    </x:row>
    <x:row r="51" ht="15.75" customHeight="1">
      <x:c r="A51" s="97" t="s">
        <x:v>96</x:v>
      </x:c>
      <x:c r="B51" s="101" t="n">
        <x:f>B101</x:f>
        <x:v>0.1</x:v>
      </x:c>
      <x:c r="C51" s="94"/>
      <x:c r="D51" s="123" t="s">
        <x:v>97</x:v>
      </x:c>
    </x:row>
    <x:row r="52" ht="15.75" customHeight="1">
      <x:c r="A52" s="97" t="s">
        <x:v>98</x:v>
      </x:c>
      <x:c r="B52" s="109" t="n">
        <x:f>B100</x:f>
        <x:v>120</x:v>
      </x:c>
      <x:c r="C52" s="93" t="s">
        <x:v>77</x:v>
      </x:c>
      <x:c r="D52" s="121"/>
    </x:row>
    <x:row r="53" ht="15.75" customHeight="1">
      <x:c r="A53" s="97" t="s">
        <x:v>99</x:v>
      </x:c>
      <x:c r="B53" s="109" t="n">
        <x:v>0</x:v>
      </x:c>
      <x:c r="C53" s="93" t="s">
        <x:v>77</x:v>
      </x:c>
      <x:c r="D53" s="121"/>
    </x:row>
    <x:row r="54" ht="15.75" customHeight="1">
      <x:c r="A54" s="97" t="s">
        <x:v>100</x:v>
      </x:c>
      <x:c r="B54" s="110" t="n">
        <x:f>B9*B51*(B52/60)*B50</x:f>
        <x:v>100</x:v>
      </x:c>
      <x:c r="C54" s="94"/>
      <x:c r="D54" s="121"/>
    </x:row>
    <x:row r="55" ht="15.75" customHeight="1">
      <x:c r="A55" s="97" t="s">
        <x:v>101</x:v>
      </x:c>
      <x:c r="B55" s="110" t="n">
        <x:f>IF(B6="B",B12*(B53/60)*B50,0)</x:f>
        <x:v>0</x:v>
      </x:c>
      <x:c r="C55" s="94"/>
      <x:c r="D55" s="123" t="s">
        <x:v>102</x:v>
      </x:c>
    </x:row>
    <x:row r="56" ht="15.75" customHeight="1">
      <x:c r="A56" s="105" t="s">
        <x:v>103</x:v>
      </x:c>
      <x:c r="B56" s="111" t="n">
        <x:f>B54+B55</x:f>
        <x:v>100</x:v>
      </x:c>
      <x:c r="C56" s="94"/>
      <x:c r="D56" s="121"/>
    </x:row>
    <x:row r="57" ht="15.75" customHeight="1">
      <x:c r="A57" s="94"/>
      <x:c r="B57" s="94"/>
      <x:c r="C57" s="94"/>
      <x:c r="D57" s="121"/>
    </x:row>
    <x:row r="58" ht="15.75" customHeight="1">
      <x:c r="A58" s="95" t="s">
        <x:v>104</x:v>
      </x:c>
      <x:c r="B58" s="96"/>
      <x:c r="C58" s="96"/>
      <x:c r="D58" s="122"/>
      <x:c r="E58" s="10"/>
      <x:c r="F58" s="10"/>
      <x:c r="G58" s="10"/>
      <x:c r="H58" s="10"/>
    </x:row>
    <x:row r="59" ht="15.75" customHeight="1">
      <x:c r="A59" s="97" t="s">
        <x:v>105</x:v>
      </x:c>
      <x:c r="B59" s="103" t="n">
        <x:f>B121</x:f>
        <x:v>1200</x:v>
      </x:c>
      <x:c r="C59" s="94"/>
      <x:c r="D59" s="123" t="s">
        <x:v>106</x:v>
      </x:c>
    </x:row>
    <x:row r="60" ht="15.75" customHeight="1">
      <x:c r="A60" s="94"/>
      <x:c r="B60" s="94"/>
      <x:c r="C60" s="94"/>
      <x:c r="D60" s="121"/>
    </x:row>
    <x:row r="61" ht="15.75" customHeight="1">
      <x:c r="A61" s="95" t="s">
        <x:v>107</x:v>
      </x:c>
      <x:c r="B61" s="96"/>
      <x:c r="C61" s="96"/>
      <x:c r="D61" s="122"/>
      <x:c r="E61" s="10"/>
      <x:c r="F61" s="10"/>
      <x:c r="G61" s="10"/>
      <x:c r="H61" s="10"/>
    </x:row>
    <x:row r="62" ht="15.75" customHeight="1">
      <x:c r="A62" s="97" t="s">
        <x:v>108</x:v>
      </x:c>
      <x:c r="B62" s="110" t="n">
        <x:f>B9*(B31+B38+B43+B47)</x:f>
        <x:v>942.266214</x:v>
      </x:c>
      <x:c r="C62" s="94"/>
      <x:c r="D62" s="121"/>
    </x:row>
    <x:row r="63" ht="15.75" customHeight="1">
      <x:c r="A63" s="97" t="s">
        <x:v>109</x:v>
      </x:c>
      <x:c r="B63" s="110" t="n">
        <x:f>B56</x:f>
        <x:v>100</x:v>
      </x:c>
      <x:c r="C63" s="94"/>
      <x:c r="D63" s="121"/>
    </x:row>
    <x:row r="64" ht="15.75" customHeight="1">
      <x:c r="A64" s="97" t="s">
        <x:v>110</x:v>
      </x:c>
      <x:c r="B64" s="110" t="n">
        <x:f>B59</x:f>
        <x:v>1200</x:v>
      </x:c>
      <x:c r="C64" s="94"/>
      <x:c r="D64" s="121"/>
    </x:row>
    <x:row r="65" ht="15.75" customHeight="1">
      <x:c r="A65" s="97" t="s">
        <x:v>111</x:v>
      </x:c>
      <x:c r="B65" s="110" t="n">
        <x:f>B62+B63+B64</x:f>
        <x:v>2242.266214</x:v>
      </x:c>
      <x:c r="C65" s="94"/>
      <x:c r="D65" s="121"/>
    </x:row>
    <x:row r="66" ht="15.75" customHeight="1">
      <x:c r="A66" s="105" t="s">
        <x:v>112</x:v>
      </x:c>
      <x:c r="B66" s="106" t="n">
        <x:f>IF(B11=0,0,(B62+B63)/B11)</x:f>
        <x:v>57.90367855555556</x:v>
      </x:c>
      <x:c r="C66" s="93" t="s">
        <x:v>113</x:v>
      </x:c>
      <x:c r="D66" s="123" t="s">
        <x:v>114</x:v>
      </x:c>
    </x:row>
    <x:row r="67" ht="15.75" customHeight="1">
      <x:c r="A67" s="105" t="s">
        <x:v>115</x:v>
      </x:c>
      <x:c r="B67" s="106" t="n">
        <x:f>IF(B11=0,0,B65/B11)</x:f>
        <x:v>124.57034522222223</x:v>
      </x:c>
      <x:c r="C67" s="93" t="s">
        <x:v>113</x:v>
      </x:c>
      <x:c r="D67" s="121"/>
    </x:row>
    <x:row r="68" ht="15.75" customHeight="1">
      <x:c r="A68" s="97" t="s">
        <x:v>116</x:v>
      </x:c>
      <x:c r="B68" s="100" t="n">
        <x:f>'6_Benchmarks'!B53</x:f>
        <x:v>26100</x:v>
      </x:c>
      <x:c r="C68" s="93" t="s">
        <x:v>117</x:v>
      </x:c>
      <x:c r="D68" s="123" t="s">
        <x:v>118</x:v>
      </x:c>
    </x:row>
    <x:row r="69" ht="15.75" customHeight="1">
      <x:c r="A69" s="97" t="s">
        <x:v>119</x:v>
      </x:c>
      <x:c r="B69" s="112" t="n">
        <x:f>B66*B68</x:f>
        <x:v>1511286.0103</x:v>
      </x:c>
      <x:c r="C69" s="93" t="s">
        <x:v>120</x:v>
      </x:c>
      <x:c r="D69" s="121"/>
    </x:row>
    <x:row r="70" ht="15.75" customHeight="1">
      <x:c r="A70" s="94"/>
      <x:c r="B70" s="94"/>
      <x:c r="C70" s="94"/>
      <x:c r="D70" s="121"/>
    </x:row>
    <x:row r="71" ht="15.75" customHeight="1">
      <x:c r="A71" s="95" t="s">
        <x:v>121</x:v>
      </x:c>
      <x:c r="B71" s="96"/>
      <x:c r="C71" s="96"/>
      <x:c r="D71" s="122"/>
      <x:c r="E71" s="10"/>
      <x:c r="F71" s="10"/>
      <x:c r="G71" s="10"/>
      <x:c r="H71" s="10"/>
    </x:row>
    <x:row r="72" ht="15.75" customHeight="1">
      <x:c r="A72" s="97" t="s">
        <x:v>122</x:v>
      </x:c>
      <x:c r="B72" s="110" t="n">
        <x:f>B9*B31</x:f>
        <x:v>0</x:v>
      </x:c>
      <x:c r="C72" s="107" t="n">
        <x:f t="shared" ref="C72:C77" si="1">IF($B$65=0,0,B72/$B$65)</x:f>
        <x:v>0</x:v>
      </x:c>
      <x:c r="D72" s="121"/>
    </x:row>
    <x:row r="73" ht="15.75" customHeight="1">
      <x:c r="A73" s="97" t="s">
        <x:v>123</x:v>
      </x:c>
      <x:c r="B73" s="110" t="n">
        <x:f>B9*B38</x:f>
        <x:v>0</x:v>
      </x:c>
      <x:c r="C73" s="107" t="n">
        <x:f t="shared" si="1">IF($B$65=0,0,B73/$B$65)</x:f>
        <x:v>0</x:v>
      </x:c>
      <x:c r="D73" s="121"/>
    </x:row>
    <x:row r="74" ht="15.75" customHeight="1">
      <x:c r="A74" s="97" t="s">
        <x:v>124</x:v>
      </x:c>
      <x:c r="B74" s="110" t="n">
        <x:f>B9*B43</x:f>
        <x:v>942.266214</x:v>
      </x:c>
      <x:c r="C74" s="107" t="n">
        <x:f t="shared" si="1">IF($B$65=0,0,B74/$B$65)</x:f>
        <x:v>0.4202294125990875</x:v>
      </x:c>
      <x:c r="D74" s="121"/>
    </x:row>
    <x:row r="75" ht="15.75" customHeight="1">
      <x:c r="A75" s="97" t="s">
        <x:v>125</x:v>
      </x:c>
      <x:c r="B75" s="110" t="n">
        <x:f>B9*B47</x:f>
        <x:v>0</x:v>
      </x:c>
      <x:c r="C75" s="107" t="n">
        <x:f t="shared" si="1">IF($B$65=0,0,B75/$B$65)</x:f>
        <x:v>0</x:v>
      </x:c>
      <x:c r="D75" s="121"/>
    </x:row>
    <x:row r="76" ht="15.75" customHeight="1">
      <x:c r="A76" s="97" t="s">
        <x:v>126</x:v>
      </x:c>
      <x:c r="B76" s="110" t="n">
        <x:f>B56</x:f>
        <x:v>100</x:v>
      </x:c>
      <x:c r="C76" s="107" t="n">
        <x:f t="shared" si="1">IF($B$65=0,0,B76/$B$65)</x:f>
        <x:v>0.04459773749237787</x:v>
      </x:c>
      <x:c r="D76" s="121"/>
    </x:row>
    <x:row r="77" ht="15.75" customHeight="1">
      <x:c r="A77" s="97" t="s">
        <x:v>127</x:v>
      </x:c>
      <x:c r="B77" s="110" t="n">
        <x:f>B59</x:f>
        <x:v>1200</x:v>
      </x:c>
      <x:c r="C77" s="107" t="n">
        <x:f t="shared" si="1">IF($B$65=0,0,B77/$B$65)</x:f>
        <x:v>0.5351728499085345</x:v>
      </x:c>
      <x:c r="D77" s="121"/>
    </x:row>
    <x:row r="78" ht="15.75" customHeight="1">
      <x:c r="A78" s="93" t="s">
        <x:v>128</x:v>
      </x:c>
      <x:c r="B78" s="94"/>
      <x:c r="C78" s="94"/>
      <x:c r="D78" s="121"/>
    </x:row>
    <x:row r="79" ht="15.75" customHeight="1">
      <x:c r="A79" s="94"/>
      <x:c r="B79" s="94"/>
      <x:c r="C79" s="94"/>
      <x:c r="D79" s="121"/>
    </x:row>
    <x:row r="80" ht="25" customHeight="1">
      <x:c r="A80" s="113" t="str">
        <x:v>RAV-26 — GIẢ ĐỊNH VÀ CHI PHÍ CV BỔ SUNG</x:v>
      </x:c>
      <x:c r="B80" s="113" t="str">
        <x:v>RAV-26 — GIẢ ĐỊNH VÀ CHI PHÍ CV BỔ SUNG</x:v>
      </x:c>
      <x:c r="C80" s="113" t="str">
        <x:v>RAV-26 — GIẢ ĐỊNH VÀ CHI PHÍ CV BỔ SUNG</x:v>
      </x:c>
      <x:c r="D80" s="124" t="str">
        <x:v>RAV-26 — GIẢ ĐỊNH VÀ CHI PHÍ CV BỔ SUNG</x:v>
      </x:c>
    </x:row>
    <x:row r="81" ht="50" customHeight="1">
      <x:c r="A81" s="54" t="str">
        <x:v>B10 là tỷ lệ batch hoàn thành kỹ thuật sau khi Reviewer khách duyệt, KHÔNG phải AI tự trị hay tỷ lệ tăng mAP. 90% chỉ là giả định lập kế hoạch: 18/20 batch hoàn thành; chưa có đo lường thực tế. Reviewer bắt buộc mọi batch.</x:v>
      </x:c>
      <x:c r="B81" s="54" t="str">
        <x:v>B10 là tỷ lệ batch hoàn thành kỹ thuật sau khi Reviewer khách duyệt, KHÔNG phải AI tự trị hay tỷ lệ tăng mAP. 90% chỉ là giả định lập kế hoạch: 18/20 batch hoàn thành; chưa có đo lường thực tế. Reviewer bắt buộc mọi batch.</x:v>
      </x:c>
      <x:c r="C81" s="54" t="str">
        <x:v>B10 là tỷ lệ batch hoàn thành kỹ thuật sau khi Reviewer khách duyệt, KHÔNG phải AI tự trị hay tỷ lệ tăng mAP. 90% chỉ là giả định lập kế hoạch: 18/20 batch hoàn thành; chưa có đo lường thực tế. Reviewer bắt buộc mọi batch.</x:v>
      </x:c>
      <x:c r="D81" s="54" t="str">
        <x:v>B10 là tỷ lệ batch hoàn thành kỹ thuật sau khi Reviewer khách duyệt, KHÔNG phải AI tự trị hay tỷ lệ tăng mAP. 90% chỉ là giả định lập kế hoạch: 18/20 batch hoàn thành; chưa có đo lường thực tế. Reviewer bắt buộc mọi batch.</x:v>
      </x:c>
    </x:row>
    <x:row r="82" ht="15.75" customHeight="1">
      <x:c r="A82" s="94"/>
      <x:c r="B82" s="94"/>
      <x:c r="C82" s="94"/>
      <x:c r="D82" s="121"/>
    </x:row>
    <x:row r="83" ht="48" customHeight="1">
      <x:c r="A83" s="94" t="str">
        <x:v>Frame đầu vào / job</x:v>
      </x:c>
      <x:c r="B83" s="114" t="n">
        <x:v>1000</x:v>
      </x:c>
      <x:c r="C83" s="94"/>
      <x:c r="D83" s="121" t="str">
        <x:v>Gói pilot cố định; tối đa 1.000 frame duy nhất, độ phân giải tối đa 1080p.</x:v>
      </x:c>
    </x:row>
    <x:row r="84" ht="48" customHeight="1">
      <x:c r="A84" s="94" t="str">
        <x:v>GPU-giây / frame</x:v>
      </x:c>
      <x:c r="B84" s="115" t="n">
        <x:v>1.5</x:v>
      </x:c>
      <x:c r="C84" s="94"/>
      <x:c r="D84" s="121" t="str">
        <x:v>Giả định 3 bước CV × 0,5 giây: PII, detector/uncertainty, embedding. Phải benchmark.</x:v>
      </x:c>
    </x:row>
    <x:row r="85" ht="48" customHeight="1">
      <x:c r="A85" s="94" t="str">
        <x:v>CPU-giây / batch</x:v>
      </x:c>
      <x:c r="B85" s="114" t="n">
        <x:v>3000</x:v>
      </x:c>
      <x:c r="C85" s="94"/>
      <x:c r="D85" s="121" t="str">
        <x:v>Giả định 3 giây/frame cho decode, metadata, manifest; không phải throughput đã đo.</x:v>
      </x:c>
    </x:row>
    <x:row r="86" ht="48" customHeight="1">
      <x:c r="A86" s="94" t="str">
        <x:v>Physical cores</x:v>
      </x:c>
      <x:c r="B86" s="116" t="n">
        <x:v>2</x:v>
      </x:c>
      <x:c r="C86" s="94"/>
      <x:c r="D86" s="121" t="str">
        <x:v>Giả định cấu hình worker; 2 physical cores ≈ 4 vCPU.</x:v>
      </x:c>
    </x:row>
    <x:row r="87" ht="48" customHeight="1">
      <x:c r="A87" s="94" t="str">
        <x:v>RAM GiB</x:v>
      </x:c>
      <x:c r="B87" s="116" t="n">
        <x:v>8</x:v>
      </x:c>
      <x:c r="C87" s="94"/>
      <x:c r="D87" s="121" t="str">
        <x:v>Giả định worker decode/CV.</x:v>
      </x:c>
    </x:row>
    <x:row r="88" ht="48" customHeight="1">
      <x:c r="A88" s="94" t="str">
        <x:v>Region multiplier</x:v>
      </x:c>
      <x:c r="B88" s="115" t="n">
        <x:v>1.75</x:v>
      </x:c>
      <x:c r="C88" s="94"/>
      <x:c r="D88" s="121" t="str">
        <x:v>Dùng upper bound công khai; phải chọn vùng khách chấp thuận trước pilot.</x:v>
      </x:c>
    </x:row>
    <x:row r="89" ht="48" customHeight="1">
      <x:c r="A89" s="94" t="str">
        <x:v>MiB / frame</x:v>
      </x:c>
      <x:c r="B89" s="117" t="n">
        <x:v>2</x:v>
      </x:c>
      <x:c r="C89" s="94"/>
      <x:c r="D89" s="121" t="str">
        <x:v>Cap thiết kế pilot; frame lớn hơn phải báo giá lại.</x:v>
      </x:c>
    </x:row>
    <x:row r="90" ht="48" customHeight="1">
      <x:c r="A90" s="94" t="str">
        <x:v>Bản gốc + derivative</x:v>
      </x:c>
      <x:c r="B90" s="117" t="n">
        <x:v>2</x:v>
      </x:c>
      <x:c r="C90" s="94"/>
      <x:c r="D90" s="121" t="str">
        <x:v>Giả định 2 bản tương đương; hạn chế export/cache trùng.</x:v>
      </x:c>
    </x:row>
    <x:row r="91" ht="48" customHeight="1">
      <x:c r="A91" s="94" t="str">
        <x:v>Retention rolling (tháng)</x:v>
      </x:c>
      <x:c r="B91" s="116" t="n">
        <x:v>3</x:v>
      </x:c>
      <x:c r="C91" s="94"/>
      <x:c r="D91" s="121" t="str">
        <x:v>Chi phí steady state 3 tháng; retention là đề xuất, chưa có cam kết DPA.</x:v>
      </x:c>
    </x:row>
    <x:row r="92" ht="48" customHeight="1">
      <x:c r="A92" s="94" t="str">
        <x:v>GiB egress / batch</x:v>
      </x:c>
      <x:c r="B92" s="117" t="n">
        <x:v>2</x:v>
      </x:c>
      <x:c r="C92" s="94"/>
      <x:c r="D92" s="121" t="str">
        <x:v>Giả định tối đa 2 GiB; cùng khu vực, không tải xuống nhiều lần miễn phí.</x:v>
      </x:c>
    </x:row>
    <x:row r="93" ht="48" customHeight="1">
      <x:c r="A93" s="94" t="str">
        <x:v>Request/IO reserve USD/batch</x:v>
      </x:c>
      <x:c r="B93" s="115" t="n">
        <x:v>0.1</x:v>
      </x:c>
      <x:c r="C93" s="94"/>
      <x:c r="D93" s="121" t="str">
        <x:v>Dự phòng PUT/GET/index/IO chưa có giá xác nhận; cần đối chiếu invoice.</x:v>
      </x:c>
    </x:row>
    <x:row r="94" ht="48" customHeight="1">
      <x:c r="A94" s="94" t="str">
        <x:v>DB/API hosting USD/tháng</x:v>
      </x:c>
      <x:c r="B94" s="115" t="n">
        <x:v>100</x:v>
      </x:c>
      <x:c r="C94" s="94"/>
      <x:c r="D94" s="121" t="str">
        <x:v>Ngân sách giả định dedicated DB/API; không phải báo giá vendor.</x:v>
      </x:c>
    </x:row>
    <x:row r="95" ht="48" customHeight="1">
      <x:c r="A95" s="94" t="str">
        <x:v>Logs + backup USD/tháng</x:v>
      </x:c>
      <x:c r="B95" s="115" t="n">
        <x:v>50</x:v>
      </x:c>
      <x:c r="C95" s="94"/>
      <x:c r="D95" s="121" t="str">
        <x:v>Ngân sách giả định audit metadata, backups; không lưu ảnh PII trong log.</x:v>
      </x:c>
    </x:row>
    <x:row r="96" ht="48" customHeight="1">
      <x:c r="A96" s="94" t="str">
        <x:v>Delivery support giờ/tháng</x:v>
      </x:c>
      <x:c r="B96" s="117" t="n">
        <x:v>15</x:v>
      </x:c>
      <x:c r="C96" s="94"/>
      <x:c r="D96" s="121" t="str">
        <x:v>Giả định 3 giờ/tuần × 5 tuần; là COGS vendor, không phải sales.</x:v>
      </x:c>
    </x:row>
    <x:row r="97" ht="48" customHeight="1">
      <x:c r="A97" s="94" t="str">
        <x:v>Security + eval giờ/tháng</x:v>
      </x:c>
      <x:c r="B97" s="117" t="n">
        <x:v>5</x:v>
      </x:c>
      <x:c r="C97" s="94"/>
      <x:c r="D97" s="121" t="str">
        <x:v>Giả định 1 giờ/tuần × 5 tuần, duy trì kiểm tra và vận hành.</x:v>
      </x:c>
    </x:row>
    <x:row r="98" ht="48" customHeight="1">
      <x:c r="A98" s="94" t="str">
        <x:v>R&amp;D overhead USD/tháng</x:v>
      </x:c>
      <x:c r="B98" s="115" t="n">
        <x:v>900</x:v>
      </x:c>
      <x:c r="C98" s="94"/>
      <x:c r="D98" s="121" t="str">
        <x:v>36 giờ × 25 USD/giờ; OPEX ngoài GM, phân bổ cho một tenant.</x:v>
      </x:c>
    </x:row>
    <x:row r="99" ht="48" customHeight="1">
      <x:c r="A99" s="94" t="str">
        <x:v>Sales overhead USD/tháng</x:v>
      </x:c>
      <x:c r="B99" s="115" t="n">
        <x:v>300</x:v>
      </x:c>
      <x:c r="C99" s="94"/>
      <x:c r="D99" s="121" t="str">
        <x:v>12 giờ × 25 USD/giờ; OPEX ngoài GM. CAC là góc nhìn cohort riêng, không cộng lại.</x:v>
      </x:c>
    </x:row>
    <x:row r="100" ht="48" customHeight="1">
      <x:c r="A100" s="94" t="str">
        <x:v>QA minutes vendor / mẫu</x:v>
      </x:c>
      <x:c r="B100" s="116" t="n">
        <x:v>120</x:v>
      </x:c>
      <x:c r="C100" s="94"/>
      <x:c r="D100" s="121" t="str">
        <x:v>10% batch × 2 giờ: kiểm tra export, lỗi PII/workflow; khách vẫn tự curate/review.</x:v>
      </x:c>
    </x:row>
    <x:row r="101" ht="48" customHeight="1">
      <x:c r="A101" s="94" t="str">
        <x:v>QA fraction vendor</x:v>
      </x:c>
      <x:c r="B101" s="118" t="n">
        <x:v>0.1</x:v>
      </x:c>
      <x:c r="C101" s="94"/>
      <x:c r="D101" s="121" t="str">
        <x:v>10% = 2 batch/20; giả định kiểm tra mẫu nội bộ, không thay Reviewer khách.</x:v>
      </x:c>
    </x:row>
    <x:row r="102" ht="48" customHeight="1">
      <x:c r="A102" s="94" t="str">
        <x:v>Lao động fully-loaded USD/giờ</x:v>
      </x:c>
      <x:c r="B102" s="115" t="n">
        <x:v>25</x:v>
      </x:c>
      <x:c r="C102" s="94"/>
      <x:c r="D102" s="121" t="str">
        <x:v>Giả định 25 = 20 công + 5 chi phí quản lý/bảo hiểm/thiết bị; cần xác nhận thực tế.</x:v>
      </x:c>
    </x:row>
    <x:row r="103" ht="15.75" customHeight="1">
      <x:c r="A103" s="94"/>
      <x:c r="B103" s="94"/>
      <x:c r="C103" s="94"/>
      <x:c r="D103" s="121"/>
    </x:row>
    <x:row r="104" ht="15.75" customHeight="1">
      <x:c r="A104" s="94"/>
      <x:c r="B104" s="94"/>
      <x:c r="C104" s="94"/>
      <x:c r="D104" s="121"/>
    </x:row>
    <x:row r="105" ht="15.75" customHeight="1">
      <x:c r="A105" s="94" t="str">
        <x:v>GPU / job thử</x:v>
      </x:c>
      <x:c r="B105" s="119" t="n">
        <x:f>B83*B84*B88*'6_Benchmarks'!B47</x:f>
        <x:v>0.58275</x:v>
      </x:c>
      <x:c r="C105" s="94"/>
      <x:c r="D105" s="121"/>
    </x:row>
    <x:row r="106" ht="15.75" customHeight="1">
      <x:c r="A106" s="94" t="str">
        <x:v>CPU / job thử</x:v>
      </x:c>
      <x:c r="B106" s="119" t="n">
        <x:f>B85*B86*B88*'6_Benchmarks'!B48</x:f>
        <x:v>0.13755</x:v>
      </x:c>
      <x:c r="C106" s="94"/>
      <x:c r="D106" s="121"/>
    </x:row>
    <x:row r="107" ht="15.75" customHeight="1">
      <x:c r="A107" s="94" t="str">
        <x:v>Memory / job thử</x:v>
      </x:c>
      <x:c r="B107" s="119" t="n">
        <x:f>B85*B87*B88*'6_Benchmarks'!B49</x:f>
        <x:v>0.09324</x:v>
      </x:c>
      <x:c r="C107" s="94"/>
      <x:c r="D107" s="121"/>
    </x:row>
    <x:row r="108" ht="15.75" customHeight="1">
      <x:c r="A108" s="94" t="str">
        <x:v>CV compute trước retry</x:v>
      </x:c>
      <x:c r="B108" s="119" t="n">
        <x:f>SUM(B105:B107)</x:f>
        <x:v>0.8135399999999999</x:v>
      </x:c>
      <x:c r="C108" s="94"/>
      <x:c r="D108" s="121"/>
    </x:row>
    <x:row r="109" ht="15.75" customHeight="1">
      <x:c r="A109" s="94" t="str">
        <x:v>Retry GPU+CPU+RAM / job</x:v>
      </x:c>
      <x:c r="B109" s="119" t="n">
        <x:f>B108*B46</x:f>
        <x:v>0.0650832</x:v>
      </x:c>
      <x:c r="C109" s="94"/>
      <x:c r="D109" s="121"/>
    </x:row>
    <x:row r="110" ht="15.75" customHeight="1">
      <x:c r="A110" s="94" t="str">
        <x:v>Storage steady state GiB</x:v>
      </x:c>
      <x:c r="B110" s="119" t="n">
        <x:f>B9*B83*B89/1024*B90*B91</x:f>
        <x:v>234.375</x:v>
      </x:c>
      <x:c r="C110" s="94"/>
      <x:c r="D110" s="121"/>
    </x:row>
    <x:row r="111" ht="15.75" customHeight="1">
      <x:c r="A111" s="94" t="str">
        <x:v>Storage USD/tháng</x:v>
      </x:c>
      <x:c r="B111" s="119" t="n">
        <x:f>B110*'6_Benchmarks'!B50</x:f>
        <x:v>21.09375</x:v>
      </x:c>
      <x:c r="C111" s="94"/>
      <x:c r="D111" s="121"/>
    </x:row>
    <x:row r="112" ht="15.75" customHeight="1">
      <x:c r="A112" s="94" t="str">
        <x:v>Network egress / job</x:v>
      </x:c>
      <x:c r="B112" s="119" t="n">
        <x:f>B92*'6_Benchmarks'!B51</x:f>
        <x:v>0.08</x:v>
      </x:c>
      <x:c r="C112" s="94"/>
      <x:c r="D112" s="121"/>
    </x:row>
    <x:row r="113" ht="15.75" customHeight="1">
      <x:c r="A113" s="94" t="str">
        <x:v>Fixed delivery COGS/tháng</x:v>
      </x:c>
      <x:c r="B113" s="119" t="n">
        <x:f>'6_Benchmarks'!B52+B94+B95+(B96+B97)*B102</x:f>
        <x:v>900</x:v>
      </x:c>
      <x:c r="C113" s="94"/>
      <x:c r="D113" s="121"/>
    </x:row>
    <x:row r="114" ht="15.75" customHeight="1">
      <x:c r="A114" s="94" t="str">
        <x:v>Infra/CV all-in / job thử</x:v>
      </x:c>
      <x:c r="B114" s="119" t="n">
        <x:f>B108+B109+B111/B9+B112+B93+B113/B9</x:f>
        <x:v>47.1133107</x:v>
      </x:c>
      <x:c r="C114" s="94"/>
      <x:c r="D114" s="121"/>
    </x:row>
    <x:row r="115" ht="15.75" customHeight="1">
      <x:c r="A115" s="94" t="str">
        <x:v>QA USD/job thử</x:v>
      </x:c>
      <x:c r="B115" s="119" t="n">
        <x:f>B101*B100/60*B102</x:f>
        <x:v>5</x:v>
      </x:c>
      <x:c r="C115" s="94"/>
      <x:c r="D115" s="121"/>
    </x:row>
    <x:row r="116" ht="15.75" customHeight="1">
      <x:c r="A116" s="94" t="str">
        <x:v>COGS all-in tháng</x:v>
      </x:c>
      <x:c r="B116" s="119" t="n">
        <x:f>B9*(B114+B115)</x:f>
        <x:v>1042.266214</x:v>
      </x:c>
      <x:c r="C116" s="94"/>
      <x:c r="D116" s="121"/>
    </x:row>
    <x:row r="117" ht="15.75" customHeight="1">
      <x:c r="A117" s="94" t="str">
        <x:v>COGS/job hoàn thành</x:v>
      </x:c>
      <x:c r="B117" s="119" t="n">
        <x:f>B116/B11</x:f>
        <x:v>57.90367855555556</x:v>
      </x:c>
      <x:c r="C117" s="94"/>
      <x:c r="D117" s="121"/>
    </x:row>
    <x:row r="118" ht="15.75" customHeight="1">
      <x:c r="A118" s="94" t="str">
        <x:v>Retry CV USD/tháng</x:v>
      </x:c>
      <x:c r="B118" s="119" t="n">
        <x:f>B9*B109</x:f>
        <x:v>1.301664</x:v>
      </x:c>
      <x:c r="C118" s="94"/>
      <x:c r="D118" s="121"/>
    </x:row>
    <x:row r="119" ht="15.75" customHeight="1">
      <x:c r="A119" s="94" t="str">
        <x:v>COGS chia job thử (sai mẫu số)</x:v>
      </x:c>
      <x:c r="B119" s="119" t="n">
        <x:f>B116/B9</x:f>
        <x:v>52.1133107</x:v>
      </x:c>
      <x:c r="C119" s="94"/>
      <x:c r="D119" s="121"/>
    </x:row>
    <x:row r="120" ht="15.75" customHeight="1">
      <x:c r="A120" s="94" t="str">
        <x:v>% tăng do dùng mẫu số đúng</x:v>
      </x:c>
      <x:c r="B120" s="120" t="n">
        <x:f>B117/B119-1</x:f>
        <x:v>0.11111111111111116</x:v>
      </x:c>
      <x:c r="C120" s="94"/>
      <x:c r="D120" s="121"/>
    </x:row>
    <x:row r="121" ht="15.75" customHeight="1">
      <x:c r="A121" s="94" t="str">
        <x:v>Overhead tháng</x:v>
      </x:c>
      <x:c r="B121" s="119" t="n">
        <x:f>SUM(B98:B99)</x:f>
        <x:v>1200</x:v>
      </x:c>
      <x:c r="C121" s="94"/>
      <x:c r="D121" s="121"/>
    </x:row>
    <x:row r="122" ht="15.75" customHeight="1">
      <x:c r="A122" s="94" t="str">
        <x:v>COGS + OPEX / job</x:v>
      </x:c>
      <x:c r="B122" s="119" t="n">
        <x:f>B117+B121/B11</x:f>
        <x:v>124.57034522222223</x:v>
      </x:c>
      <x:c r="C122" s="94"/>
      <x:c r="D122" s="121"/>
    </x:row>
    <x:row r="123" ht="15.75" customHeight="1">
      <x:c r="A123" s="94"/>
      <x:c r="B123" s="94"/>
      <x:c r="C123" s="94"/>
      <x:c r="D123" s="121"/>
    </x:row>
    <x:row r="124" ht="50" customHeight="1">
      <x:c r="A124" s="54" t="str">
        <x:v>Retry CV đã cộng tại B109 → B114 → ô vàng B41. B47/B75 gốc chỉ tính Retry API token/voice = 0 vì không dùng API đó. Retry thật B118 &gt; 0; không cộng B118 thêm lần nữa. Không sửa bất kỳ công thức xám gốc nào.</x:v>
      </x:c>
      <x:c r="B124" s="54" t="str">
        <x:v>Retry CV đã cộng tại B109 → B114 → ô vàng B41. B47/B75 gốc chỉ tính Retry API token/voice = 0 vì không dùng API đó. Retry thật B118 &gt; 0; không cộng B118 thêm lần nữa. Không sửa bất kỳ công thức xám gốc nào.</x:v>
      </x:c>
      <x:c r="C124" s="54" t="str">
        <x:v>Retry CV đã cộng tại B109 → B114 → ô vàng B41. B47/B75 gốc chỉ tính Retry API token/voice = 0 vì không dùng API đó. Retry thật B118 &gt; 0; không cộng B118 thêm lần nữa. Không sửa bất kỳ công thức xám gốc nào.</x:v>
      </x:c>
      <x:c r="D124" s="54" t="str">
        <x:v>Retry CV đã cộng tại B109 → B114 → ô vàng B41. B47/B75 gốc chỉ tính Retry API token/voice = 0 vì không dùng API đó. Retry thật B118 &gt; 0; không cộng B118 thêm lần nữa. Không sửa bất kỳ công thức xám gốc nào.</x:v>
      </x:c>
    </x:row>
    <x:row r="125" ht="50" customHeight="1">
      <x:c r="A125" s="54" t="str">
        <x:v>API LLM, cache, speech, telephony = 0 có lý do: pipeline CV định lượng, không có chat/voice; CV inference tính bằng GPU trong Infra. Batch async khả thi nhưng không có giảm giá 50% được xác nhận. Cache embedding/hash giảm tính lại là kế hoạch chưa đo; model không nhận savings.</x:v>
      </x:c>
      <x:c r="B125" s="54" t="str">
        <x:v>API LLM, cache, speech, telephony = 0 có lý do: pipeline CV định lượng, không có chat/voice; CV inference tính bằng GPU trong Infra. Batch async khả thi nhưng không có giảm giá 50% được xác nhận. Cache embedding/hash giảm tính lại là kế hoạch chưa đo; model không nhận savings.</x:v>
      </x:c>
      <x:c r="C125" s="54" t="str">
        <x:v>API LLM, cache, speech, telephony = 0 có lý do: pipeline CV định lượng, không có chat/voice; CV inference tính bằng GPU trong Infra. Batch async khả thi nhưng không có giảm giá 50% được xác nhận. Cache embedding/hash giảm tính lại là kế hoạch chưa đo; model không nhận savings.</x:v>
      </x:c>
      <x:c r="D125" s="54" t="str">
        <x:v>API LLM, cache, speech, telephony = 0 có lý do: pipeline CV định lượng, không có chat/voice; CV inference tính bằng GPU trong Infra. Batch async khả thi nhưng không có giảm giá 50% được xác nhận. Cache embedding/hash giảm tính lại là kế hoạch chưa đo; model không nhận savings.</x:v>
      </x:c>
    </x:row>
    <x:row r="126" ht="50" customHeight="1">
      <x:c r="A126" s="54" t="str">
        <x:v>HITL A: khách chịu 100% Curator/Reviewer và annotation; vendor chịu QA + delivery support + security/eval. Chi phí khách được trừ khi neo giá. Không gán nhãn, không huấn luyện hay cam kết mAP trong gói này. License model, private VPC/on-prem, SLA riêng cần báo giá bổ sung.</x:v>
      </x:c>
      <x:c r="B126" s="54" t="str">
        <x:v>HITL A: khách chịu 100% Curator/Reviewer và annotation; vendor chịu QA + delivery support + security/eval. Chi phí khách được trừ khi neo giá. Không gán nhãn, không huấn luyện hay cam kết mAP trong gói này. License model, private VPC/on-prem, SLA riêng cần báo giá bổ sung.</x:v>
      </x:c>
      <x:c r="C126" s="54" t="str">
        <x:v>HITL A: khách chịu 100% Curator/Reviewer và annotation; vendor chịu QA + delivery support + security/eval. Chi phí khách được trừ khi neo giá. Không gán nhãn, không huấn luyện hay cam kết mAP trong gói này. License model, private VPC/on-prem, SLA riêng cần báo giá bổ sung.</x:v>
      </x:c>
      <x:c r="D126" s="54" t="str">
        <x:v>HITL A: khách chịu 100% Curator/Reviewer và annotation; vendor chịu QA + delivery support + security/eval. Chi phí khách được trừ khi neo giá. Không gán nhãn, không huấn luyện hay cam kết mAP trong gói này. License model, private VPC/on-prem, SLA riêng cần báo giá bổ sung.</x:v>
      </x:c>
    </x:row>
    <x:row r="127" ht="50" customHeight="1">
      <x:c r="A127" s="54" t="str">
        <x:v>GPU throughput, storage, retention và lương đều là giả định có cap/đơn vị. Vendor không dùng free credits/allowance để làm đẹp GM. Chưa gồm thuế VAT; doanh thu/COGS trước thuế. Không nêu claim dữ liệu production an toàn tuyệt đối.</x:v>
      </x:c>
      <x:c r="B127" s="54" t="str">
        <x:v>GPU throughput, storage, retention và lương đều là giả định có cap/đơn vị. Vendor không dùng free credits/allowance để làm đẹp GM. Chưa gồm thuế VAT; doanh thu/COGS trước thuế. Không nêu claim dữ liệu production an toàn tuyệt đối.</x:v>
      </x:c>
      <x:c r="C127" s="54" t="str">
        <x:v>GPU throughput, storage, retention và lương đều là giả định có cap/đơn vị. Vendor không dùng free credits/allowance để làm đẹp GM. Chưa gồm thuế VAT; doanh thu/COGS trước thuế. Không nêu claim dữ liệu production an toàn tuyệt đối.</x:v>
      </x:c>
      <x:c r="D127" s="54" t="str">
        <x:v>GPU throughput, storage, retention và lương đều là giả định có cap/đơn vị. Vendor không dùng free credits/allowance để làm đẹp GM. Chưa gồm thuế VAT; doanh thu/COGS trước thuế. Không nêu claim dữ liệu production an toàn tuyệt đối.</x:v>
      </x:c>
    </x:row>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80:D80"/>
    <x:mergeCell ref="A81:D81"/>
    <x:mergeCell ref="A124:D124"/>
    <x:mergeCell ref="A125:D125"/>
    <x:mergeCell ref="A126:D126"/>
    <x:mergeCell ref="A127:D127"/>
    <x:mergeCell ref="B5:C5"/>
  </x:mergeCells>
  <x:dataValidations count="1">
    <x:dataValidation type="list" allowBlank="1" sqref="B6">
      <x:formula1>"A,B"</x:formula1>
    </x:dataValidation>
  </x:dataValidations>
  <x:pageMargins left="0.7" right="0.7" top="0.75" bottom="0.75" header="0.3" footer="0.3"/>
  <x:legacyDrawing xmlns:r="http://schemas.openxmlformats.org/officeDocument/2006/relationships" r:id="Rf44d4e0af9c9407f"/>
</x:worksheet>
</file>

<file path=xl/worksheets/sheet3.xml><?xml version="1.0" encoding="utf-8"?>
<x:worksheet xmlns:x="http://schemas.openxmlformats.org/spreadsheetml/2006/main">
  <x:sheetViews>
    <x:sheetView showGridLines="0" workbookViewId="0">
      <x:pane ySplit="2" topLeftCell="A3" activePane="bottomLeft" state="frozen"/>
    </x:sheetView>
  </x:sheetViews>
  <x:sheetFormatPr defaultColWidth="14.430000305175781" defaultRowHeight="15"/>
  <x:cols>
    <x:col min="1" max="1" width="64" hidden="0" customWidth="1"/>
    <x:col min="2" max="3" width="16" customWidth="1"/>
    <x:col min="4" max="4" width="67" hidden="0" customWidth="1"/>
    <x:col min="5" max="8" width="15" customWidth="1"/>
    <x:col min="9" max="26" width="8.710000038146973" customWidth="1"/>
    <x:col min="2" max="2" width="27" hidden="0" customWidth="1"/>
    <x:col min="3" max="3" width="15" hidden="0" customWidth="1"/>
  </x:cols>
  <x:sheetData>
    <x:row r="1" ht="24" customHeight="1">
      <x:c r="A1" s="91" t="s">
        <x:v>129</x:v>
      </x:c>
      <x:c r="B1" s="92"/>
      <x:c r="C1" s="92"/>
      <x:c r="D1" s="92"/>
      <x:c r="E1" s="2"/>
      <x:c r="F1" s="2"/>
      <x:c r="G1" s="2"/>
      <x:c r="H1" s="2"/>
    </x:row>
    <x:row r="2">
      <x:c r="A2" s="93" t="s">
        <x:v>130</x:v>
      </x:c>
      <x:c r="B2" s="94"/>
      <x:c r="C2" s="94"/>
      <x:c r="D2" s="94"/>
    </x:row>
    <x:row r="3">
      <x:c r="A3" s="94"/>
      <x:c r="B3" s="94"/>
      <x:c r="C3" s="94"/>
      <x:c r="D3" s="121"/>
    </x:row>
    <x:row r="4">
      <x:c r="A4" s="95" t="s">
        <x:v>131</x:v>
      </x:c>
      <x:c r="B4" s="96"/>
      <x:c r="C4" s="96"/>
      <x:c r="D4" s="122"/>
      <x:c r="E4" s="10"/>
      <x:c r="F4" s="10"/>
      <x:c r="G4" s="10"/>
      <x:c r="H4" s="10"/>
    </x:row>
    <x:row r="5">
      <x:c r="A5" s="97" t="s">
        <x:v>132</x:v>
      </x:c>
      <x:c r="B5" s="135" t="n">
        <x:f>'1_Cost_Job'!B66</x:f>
        <x:v>57.90367855555556</x:v>
      </x:c>
      <x:c r="C5" s="93" t="s">
        <x:v>113</x:v>
      </x:c>
      <x:c r="D5" s="121"/>
    </x:row>
    <x:row r="6">
      <x:c r="A6" s="97" t="s">
        <x:v>133</x:v>
      </x:c>
      <x:c r="B6" s="109" t="n">
        <x:v>3</x:v>
      </x:c>
      <x:c r="C6" s="93" t="s">
        <x:v>134</x:v>
      </x:c>
      <x:c r="D6" s="123" t="s">
        <x:v>135</x:v>
      </x:c>
    </x:row>
    <x:row r="7">
      <x:c r="A7" s="105" t="s">
        <x:v>136</x:v>
      </x:c>
      <x:c r="B7" s="106" t="n">
        <x:f>B5*B6</x:f>
        <x:v>173.71103566666667</x:v>
      </x:c>
      <x:c r="C7" s="93" t="s">
        <x:v>113</x:v>
      </x:c>
      <x:c r="D7" s="121"/>
    </x:row>
    <x:row r="8">
      <x:c r="A8" s="94"/>
      <x:c r="B8" s="94"/>
      <x:c r="C8" s="94"/>
      <x:c r="D8" s="121"/>
    </x:row>
    <x:row r="9">
      <x:c r="A9" s="95" t="s">
        <x:v>137</x:v>
      </x:c>
      <x:c r="B9" s="96"/>
      <x:c r="C9" s="96"/>
      <x:c r="D9" s="122"/>
      <x:c r="E9" s="10"/>
      <x:c r="F9" s="10"/>
      <x:c r="G9" s="10"/>
      <x:c r="H9" s="10"/>
    </x:row>
    <x:row r="10">
      <x:c r="A10" s="97" t="s">
        <x:v>138</x:v>
      </x:c>
      <x:c r="B10" s="136" t="n">
        <x:f>B71</x:f>
        <x:v>16500</x:v>
      </x:c>
      <x:c r="C10" s="94"/>
      <x:c r="D10" s="123" t="s">
        <x:v>139</x:v>
      </x:c>
    </x:row>
    <x:row r="11">
      <x:c r="A11" s="97" t="s">
        <x:v>140</x:v>
      </x:c>
      <x:c r="B11" s="100" t="n">
        <x:f>'1_Cost_Job'!B11</x:f>
        <x:v>18</x:v>
      </x:c>
      <x:c r="C11" s="93" t="s">
        <x:v>39</x:v>
      </x:c>
      <x:c r="D11" s="121"/>
    </x:row>
    <x:row r="12">
      <x:c r="A12" s="97" t="s">
        <x:v>141</x:v>
      </x:c>
      <x:c r="B12" s="104" t="n">
        <x:f>IF(B11=0,0,B10*0.1/B11)</x:f>
        <x:v>91.66666666666667</x:v>
      </x:c>
      <x:c r="C12" s="93" t="s">
        <x:v>113</x:v>
      </x:c>
      <x:c r="D12" s="121"/>
    </x:row>
    <x:row r="13">
      <x:c r="A13" s="97" t="s">
        <x:v>142</x:v>
      </x:c>
      <x:c r="B13" s="104" t="n">
        <x:f>IF(B11=0,0,B10*0.25/B11)</x:f>
        <x:v>229.16666666666666</x:v>
      </x:c>
      <x:c r="C13" s="93" t="s">
        <x:v>113</x:v>
      </x:c>
      <x:c r="D13" s="121"/>
    </x:row>
    <x:row r="14">
      <x:c r="A14" s="97" t="s">
        <x:v>143</x:v>
      </x:c>
      <x:c r="B14" s="136" t="n">
        <x:f>B72</x:f>
        <x:v>16000</x:v>
      </x:c>
      <x:c r="C14" s="94"/>
      <x:c r="D14" s="123" t="s">
        <x:v>144</x:v>
      </x:c>
    </x:row>
    <x:row r="15">
      <x:c r="A15" s="97" t="s">
        <x:v>145</x:v>
      </x:c>
      <x:c r="B15" s="104" t="n">
        <x:f>IF(B11=0,0,B14*0.5/B11)</x:f>
        <x:v>444.44444444444446</x:v>
      </x:c>
      <x:c r="C15" s="93" t="s">
        <x:v>113</x:v>
      </x:c>
      <x:c r="D15" s="121"/>
    </x:row>
    <x:row r="16">
      <x:c r="A16" s="97" t="s">
        <x:v>146</x:v>
      </x:c>
      <x:c r="B16" s="104" t="n">
        <x:f>IF(B11=0,0,B14*0.7/B11)</x:f>
        <x:v>622.2222222222222</x:v>
      </x:c>
      <x:c r="C16" s="93" t="s">
        <x:v>113</x:v>
      </x:c>
      <x:c r="D16" s="121"/>
    </x:row>
    <x:row r="17">
      <x:c r="A17" s="94"/>
      <x:c r="B17" s="94"/>
      <x:c r="C17" s="94"/>
      <x:c r="D17" s="121"/>
    </x:row>
    <x:row r="18">
      <x:c r="A18" s="95" t="s">
        <x:v>147</x:v>
      </x:c>
      <x:c r="B18" s="96"/>
      <x:c r="C18" s="96"/>
      <x:c r="D18" s="122"/>
      <x:c r="E18" s="10"/>
      <x:c r="F18" s="10"/>
      <x:c r="G18" s="10"/>
      <x:c r="H18" s="10"/>
    </x:row>
    <x:row r="19">
      <x:c r="A19" s="97" t="s">
        <x:v>148</x:v>
      </x:c>
      <x:c r="B19" s="108" t="n">
        <x:f>B60</x:f>
        <x:v>203.33333333333334</x:v>
      </x:c>
      <x:c r="C19" s="93" t="s">
        <x:v>113</x:v>
      </x:c>
      <x:c r="D19" s="123" t="s">
        <x:v>149</x:v>
      </x:c>
    </x:row>
    <x:row r="20">
      <x:c r="A20" s="97" t="s">
        <x:v>150</x:v>
      </x:c>
      <x:c r="B20" s="137" t="n">
        <x:f>IF(B5=0,0,B19/B5)</x:f>
        <x:v>3.511578856570323</x:v>
      </x:c>
      <x:c r="C20" s="94"/>
      <x:c r="D20" s="121"/>
    </x:row>
    <x:row r="21" ht="15.75" customHeight="1">
      <x:c r="A21" s="105" t="s">
        <x:v>151</x:v>
      </x:c>
      <x:c r="B21" s="138" t="n">
        <x:f>IF(B19=0,0,(B19-B5)/B19)</x:f>
        <x:v>0.7152278103825137</x:v>
      </x:c>
      <x:c r="C21" s="94"/>
      <x:c r="D21" s="121"/>
    </x:row>
    <x:row r="22" ht="15.75" customHeight="1">
      <x:c r="A22" s="97" t="s">
        <x:v>152</x:v>
      </x:c>
      <x:c r="B22" s="139" t="str">
        <x:f>IF(B20&gt;=B6,"OK — ĐẠT","KHÔNG ĐẠT — quay lại tab 1")</x:f>
        <x:v>OK — ĐẠT</x:v>
      </x:c>
      <x:c r="C22" s="94"/>
      <x:c r="D22" s="121"/>
    </x:row>
    <x:row r="23" ht="15.75" customHeight="1">
      <x:c r="A23" s="97" t="s">
        <x:v>153</x:v>
      </x:c>
      <x:c r="B23" s="139" t="str">
        <x:f>IF(B21&gt;=0.6,"OK — AN TOÀN (≥60%)",IF(B21&gt;=0.5,"CẢNH BÁO (50–60%)","NGUY HIỂM (&lt;50%)"))</x:f>
        <x:v>OK — AN TOÀN (≥60%)</x:v>
      </x:c>
      <x:c r="C23" s="94"/>
      <x:c r="D23" s="121"/>
    </x:row>
    <x:row r="24" ht="15.75" customHeight="1">
      <x:c r="A24" s="97" t="s">
        <x:v>154</x:v>
      </x:c>
      <x:c r="B24" s="139" t="str">
        <x:f>IF(B21&gt;0.85,"NGHI NGỜ — nhiều khả năng bạn quên một khoản chi phí","OK")</x:f>
        <x:v>OK</x:v>
      </x:c>
      <x:c r="C24" s="94"/>
      <x:c r="D24" s="121"/>
    </x:row>
    <x:row r="25" ht="15.75" customHeight="1">
      <x:c r="A25" s="97" t="s">
        <x:v>155</x:v>
      </x:c>
      <x:c r="B25" s="139" t="str">
        <x:f>IF(AND(B19&gt;=B7,B19&lt;=MAX(B13,B16)),"OK — trong vùng giá bán","XEM LẠI — ngoài vùng giá sàn/trần")</x:f>
        <x:v>OK — trong vùng giá bán</x:v>
      </x:c>
      <x:c r="C25" s="94"/>
      <x:c r="D25" s="121"/>
    </x:row>
    <x:row r="26" ht="15.75" customHeight="1">
      <x:c r="A26" s="94"/>
      <x:c r="B26" s="94"/>
      <x:c r="C26" s="94"/>
      <x:c r="D26" s="121"/>
    </x:row>
    <x:row r="27" ht="15.75" customHeight="1">
      <x:c r="A27" s="95" t="s">
        <x:v>156</x:v>
      </x:c>
      <x:c r="B27" s="96"/>
      <x:c r="C27" s="96"/>
      <x:c r="D27" s="122"/>
      <x:c r="E27" s="10"/>
      <x:c r="F27" s="10"/>
      <x:c r="G27" s="10"/>
      <x:c r="H27" s="10"/>
    </x:row>
    <x:row r="28" ht="15.75" customHeight="1">
      <x:c r="A28" s="93" t="s">
        <x:v>157</x:v>
      </x:c>
      <x:c r="B28" s="94"/>
      <x:c r="C28" s="94"/>
      <x:c r="D28" s="121"/>
    </x:row>
    <x:row r="29" ht="15.75" customHeight="1">
      <x:c r="A29" s="97" t="s">
        <x:v>158</x:v>
      </x:c>
      <x:c r="B29" s="135" t="n">
        <x:f>'1_Cost_Job'!B31+'1_Cost_Job'!B38+'1_Cost_Job'!B43+'1_Cost_Job'!B47</x:f>
        <x:v>47.1133107</x:v>
      </x:c>
      <x:c r="C29" s="94"/>
      <x:c r="D29" s="121"/>
    </x:row>
    <x:row r="30" ht="15.75" customHeight="1">
      <x:c r="A30" s="97" t="s">
        <x:v>159</x:v>
      </x:c>
      <x:c r="B30" s="135" t="n">
        <x:f>'1_Cost_Job'!B51*('1_Cost_Job'!B52/60)*'1_Cost_Job'!B50</x:f>
        <x:v>5</x:v>
      </x:c>
      <x:c r="C30" s="94"/>
      <x:c r="D30" s="121"/>
    </x:row>
    <x:row r="31" ht="15.75" customHeight="1">
      <x:c r="A31" s="97" t="s">
        <x:v>160</x:v>
      </x:c>
      <x:c r="B31" s="135" t="n">
        <x:f>IF('1_Cost_Job'!B6="B",('1_Cost_Job'!B53/60)*'1_Cost_Job'!B50,0)</x:f>
        <x:v>0</x:v>
      </x:c>
      <x:c r="C31" s="94"/>
      <x:c r="D31" s="121"/>
    </x:row>
    <x:row r="32" ht="15.75" customHeight="1">
      <x:c r="A32" s="97" t="s">
        <x:v>161</x:v>
      </x:c>
      <x:c r="B32" s="101" t="n">
        <x:v>0.6</x:v>
      </x:c>
      <x:c r="C32" s="94"/>
      <x:c r="D32" s="121"/>
    </x:row>
    <x:row r="33" ht="15.75" customHeight="1">
      <x:c r="A33" s="105" t="s">
        <x:v>162</x:v>
      </x:c>
      <x:c r="B33" s="138" t="n">
        <x:f>IF((B19*(1-B32)+B31)=0,0,(B29+B30+B31)/(B19*(1-B32)+B31))</x:f>
        <x:v>0.6407374266393442</x:v>
      </x:c>
      <x:c r="C33" s="94"/>
      <x:c r="D33" s="123" t="s">
        <x:v>163</x:v>
      </x:c>
    </x:row>
    <x:row r="34" ht="15.75" customHeight="1">
      <x:c r="A34" s="97" t="s">
        <x:v>164</x:v>
      </x:c>
      <x:c r="B34" s="140" t="n">
        <x:f>'1_Cost_Job'!B10</x:f>
        <x:v>0.9</x:v>
      </x:c>
      <x:c r="C34" s="94"/>
      <x:c r="D34" s="121"/>
    </x:row>
    <x:row r="35" ht="15.75" customHeight="1">
      <x:c r="A35" s="97" t="s">
        <x:v>165</x:v>
      </x:c>
      <x:c r="B35" s="139" t="str">
        <x:f>IF(B34&gt;=B33,"ĐẠT — mô hình có lãi lành mạnh","CHƯA ĐẠT — phải tăng containment, tăng giá, hoặc đổi biến thể HITL")</x:f>
        <x:v>ĐẠT — mô hình có lãi lành mạnh</x:v>
      </x:c>
      <x:c r="C35" s="94"/>
      <x:c r="D35" s="121"/>
    </x:row>
    <x:row r="36" ht="15.75" customHeight="1">
      <x:c r="A36" s="94"/>
      <x:c r="B36" s="94"/>
      <x:c r="C36" s="94"/>
      <x:c r="D36" s="121"/>
    </x:row>
    <x:row r="37" ht="15.75" customHeight="1">
      <x:c r="A37" s="95" t="s">
        <x:v>166</x:v>
      </x:c>
      <x:c r="B37" s="96"/>
      <x:c r="C37" s="96"/>
      <x:c r="D37" s="122"/>
      <x:c r="E37" s="10"/>
      <x:c r="F37" s="10"/>
      <x:c r="G37" s="10"/>
      <x:c r="H37" s="10"/>
    </x:row>
    <x:row r="38" ht="15.75" customHeight="1">
      <x:c r="A38" s="141" t="s">
        <x:v>167</x:v>
      </x:c>
      <x:c r="B38" s="141" t="s">
        <x:v>168</x:v>
      </x:c>
      <x:c r="C38" s="141" t="s">
        <x:v>169</x:v>
      </x:c>
      <x:c r="D38" s="146" t="s">
        <x:v>170</x:v>
      </x:c>
    </x:row>
    <x:row r="39" ht="15.75" customHeight="1">
      <x:c r="A39" s="142">
        <x:v>0.5</x:v>
      </x:c>
      <x:c r="B39" s="104" t="n">
        <x:f t="shared" ref="B39:B44" si="1">($B$29+$B$30+$B$31*(1-A39))/A39</x:f>
        <x:v>104.2266214</x:v>
      </x:c>
      <x:c r="C39" s="107" t="n">
        <x:f t="shared" ref="C39:C44" si="2">IF($B$19=0,0,1-B39/$B$19)</x:f>
        <x:v>0.4874100586885246</x:v>
      </x:c>
      <x:c r="D39" s="147" t="str">
        <x:f t="shared" ref="D39:D44" si="3">IF(C39&gt;=0.6,"An toàn",IF(C39&gt;=0.5,"Cảnh báo","Nguy hiểm"))</x:f>
        <x:v>Nguy hiểm</x:v>
      </x:c>
    </x:row>
    <x:row r="40" ht="15.75" customHeight="1">
      <x:c r="A40" s="142">
        <x:v>0.6</x:v>
      </x:c>
      <x:c r="B40" s="104" t="n">
        <x:f t="shared" si="1">($B$29+$B$30+$B$31*(1-A40))/A40</x:f>
        <x:v>86.85551783333334</x:v>
      </x:c>
      <x:c r="C40" s="107" t="n">
        <x:f t="shared" si="2">IF($B$19=0,0,1-B40/$B$19)</x:f>
        <x:v>0.5728417155737705</x:v>
      </x:c>
      <x:c r="D40" s="147" t="str">
        <x:f t="shared" si="3">IF(C40&gt;=0.6,"An toàn",IF(C40&gt;=0.5,"Cảnh báo","Nguy hiểm"))</x:f>
        <x:v>Cảnh báo</x:v>
      </x:c>
    </x:row>
    <x:row r="41" ht="15.75" customHeight="1">
      <x:c r="A41" s="142">
        <x:v>0.7</x:v>
      </x:c>
      <x:c r="B41" s="104" t="n">
        <x:f t="shared" si="1">($B$29+$B$30+$B$31*(1-A41))/A41</x:f>
        <x:v>74.44758671428572</x:v>
      </x:c>
      <x:c r="C41" s="107" t="n">
        <x:f t="shared" si="2">IF($B$19=0,0,1-B41/$B$19)</x:f>
        <x:v>0.6338643276346604</x:v>
      </x:c>
      <x:c r="D41" s="147" t="str">
        <x:f t="shared" si="3">IF(C41&gt;=0.6,"An toàn",IF(C41&gt;=0.5,"Cảnh báo","Nguy hiểm"))</x:f>
        <x:v>An toàn</x:v>
      </x:c>
    </x:row>
    <x:row r="42" ht="15.75" customHeight="1">
      <x:c r="A42" s="142">
        <x:v>0.8</x:v>
      </x:c>
      <x:c r="B42" s="104" t="n">
        <x:f t="shared" si="1">($B$29+$B$30+$B$31*(1-A42))/A42</x:f>
        <x:v>65.141638375</x:v>
      </x:c>
      <x:c r="C42" s="107" t="n">
        <x:f t="shared" si="2">IF($B$19=0,0,1-B42/$B$19)</x:f>
        <x:v>0.6796312866803279</x:v>
      </x:c>
      <x:c r="D42" s="147" t="str">
        <x:f t="shared" si="3">IF(C42&gt;=0.6,"An toàn",IF(C42&gt;=0.5,"Cảnh báo","Nguy hiểm"))</x:f>
        <x:v>An toàn</x:v>
      </x:c>
    </x:row>
    <x:row r="43" ht="15.75" customHeight="1">
      <x:c r="A43" s="142">
        <x:v>0.9</x:v>
      </x:c>
      <x:c r="B43" s="104" t="n">
        <x:f t="shared" si="1">($B$29+$B$30+$B$31*(1-A43))/A43</x:f>
        <x:v>57.90367855555555</x:v>
      </x:c>
      <x:c r="C43" s="107" t="n">
        <x:f t="shared" si="2">IF($B$19=0,0,1-B43/$B$19)</x:f>
        <x:v>0.7152278103825137</x:v>
      </x:c>
      <x:c r="D43" s="147" t="str">
        <x:f t="shared" si="3">IF(C43&gt;=0.6,"An toàn",IF(C43&gt;=0.5,"Cảnh báo","Nguy hiểm"))</x:f>
        <x:v>An toàn</x:v>
      </x:c>
    </x:row>
    <x:row r="44" ht="15.75" customHeight="1">
      <x:c r="A44" s="142">
        <x:v>0.95</x:v>
      </x:c>
      <x:c r="B44" s="104" t="n">
        <x:f t="shared" si="1">($B$29+$B$30+$B$31*(1-A44))/A44</x:f>
        <x:v>54.856116526315795</x:v>
      </x:c>
      <x:c r="C44" s="107" t="n">
        <x:f t="shared" si="2">IF($B$19=0,0,1-B44/$B$19)</x:f>
        <x:v>0.7302158203623814</x:v>
      </x:c>
      <x:c r="D44" s="147" t="str">
        <x:f t="shared" si="3">IF(C44&gt;=0.6,"An toàn",IF(C44&gt;=0.5,"Cảnh báo","Nguy hiểm"))</x:f>
        <x:v>An toàn</x:v>
      </x:c>
    </x:row>
    <x:row r="45" ht="15.75" customHeight="1">
      <x:c r="A45" s="94"/>
      <x:c r="B45" s="94"/>
      <x:c r="C45" s="94"/>
      <x:c r="D45" s="121"/>
    </x:row>
    <x:row r="46" ht="15.75" customHeight="1">
      <x:c r="A46" s="93" t="s">
        <x:v>171</x:v>
      </x:c>
      <x:c r="B46" s="94"/>
      <x:c r="C46" s="94"/>
      <x:c r="D46" s="121"/>
    </x:row>
    <x:row r="47" ht="15.75" customHeight="1">
      <x:c r="A47" s="94"/>
      <x:c r="B47" s="94"/>
      <x:c r="C47" s="94"/>
      <x:c r="D47" s="121"/>
    </x:row>
    <x:row r="48" ht="15.75" customHeight="1">
      <x:c r="A48" s="95" t="s">
        <x:v>172</x:v>
      </x:c>
      <x:c r="B48" s="96"/>
      <x:c r="C48" s="96"/>
      <x:c r="D48" s="122"/>
      <x:c r="E48" s="10"/>
      <x:c r="F48" s="10"/>
      <x:c r="G48" s="10"/>
      <x:c r="H48" s="10"/>
    </x:row>
    <x:row r="49" ht="15.75" customHeight="1">
      <x:c r="A49" s="105" t="s">
        <x:v>168</x:v>
      </x:c>
      <x:c r="B49" s="106" t="n">
        <x:f>B5</x:f>
        <x:v>57.90367855555556</x:v>
      </x:c>
      <x:c r="C49" s="94"/>
      <x:c r="D49" s="121"/>
    </x:row>
    <x:row r="50" ht="15.75" customHeight="1">
      <x:c r="A50" s="105" t="s">
        <x:v>173</x:v>
      </x:c>
      <x:c r="B50" s="106" t="n">
        <x:f>B7</x:f>
        <x:v>173.71103566666667</x:v>
      </x:c>
      <x:c r="C50" s="94"/>
      <x:c r="D50" s="121"/>
    </x:row>
    <x:row r="51" ht="15.75" customHeight="1">
      <x:c r="A51" s="105" t="s">
        <x:v>174</x:v>
      </x:c>
      <x:c r="B51" s="106" t="n">
        <x:f>B19</x:f>
        <x:v>203.33333333333334</x:v>
      </x:c>
      <x:c r="C51" s="94"/>
      <x:c r="D51" s="121"/>
    </x:row>
    <x:row r="52" ht="15.75" customHeight="1">
      <x:c r="A52" s="105" t="s">
        <x:v>169</x:v>
      </x:c>
      <x:c r="B52" s="138" t="n">
        <x:f>B21</x:f>
        <x:v>0.7152278103825137</x:v>
      </x:c>
      <x:c r="C52" s="94"/>
      <x:c r="D52" s="121"/>
    </x:row>
    <x:row r="53" ht="15.75" customHeight="1">
      <x:c r="A53" s="105" t="s">
        <x:v>175</x:v>
      </x:c>
      <x:c r="B53" s="138" t="n">
        <x:f>B33</x:f>
        <x:v>0.6407374266393442</x:v>
      </x:c>
      <x:c r="C53" s="94"/>
      <x:c r="D53" s="121"/>
    </x:row>
    <x:row r="54" ht="15.75" customHeight="1">
      <x:c r="A54" s="94"/>
      <x:c r="B54" s="94"/>
      <x:c r="C54" s="94"/>
      <x:c r="D54" s="121"/>
    </x:row>
    <x:row r="55" ht="15.75" customHeight="1">
      <x:c r="A55" s="94"/>
      <x:c r="B55" s="94"/>
      <x:c r="C55" s="94"/>
      <x:c r="D55" s="121"/>
    </x:row>
    <x:row r="56" ht="25" customHeight="1">
      <x:c r="A56" s="113" t="str">
        <x:v>HYBRID THỰC TẾ — PHÍ WORKSPACE + BATCH ĐÃ HOÀN THÀNH</x:v>
      </x:c>
      <x:c r="B56" s="113" t="str">
        <x:v>HYBRID THỰC TẾ — PHÍ WORKSPACE + BATCH ĐÃ HOÀN THÀNH</x:v>
      </x:c>
      <x:c r="C56" s="113" t="str">
        <x:v>HYBRID THỰC TẾ — PHÍ WORKSPACE + BATCH ĐÃ HOÀN THÀNH</x:v>
      </x:c>
      <x:c r="D56" s="124" t="str">
        <x:v>HYBRID THỰC TẾ — PHÍ WORKSPACE + BATCH ĐÃ HOÀN THÀNH</x:v>
      </x:c>
    </x:row>
    <x:row r="57" ht="48" customHeight="1">
      <x:c r="A57" s="94" t="str">
        <x:v>Phí workspace USD/tháng</x:v>
      </x:c>
      <x:c r="B57" s="115" t="n">
        <x:v>1500</x:v>
      </x:c>
      <x:c r="C57" s="94"/>
      <x:c r="D57" s="121" t="str">
        <x:v>RBAC, audit, workflow duyệt, support; không bao gồm batch credits.</x:v>
      </x:c>
    </x:row>
    <x:row r="58" ht="48" customHeight="1">
      <x:c r="A58" s="94" t="str">
        <x:v>Giá USD/batch hoàn thành</x:v>
      </x:c>
      <x:c r="B58" s="115" t="n">
        <x:v>120</x:v>
      </x:c>
      <x:c r="C58" s="94"/>
      <x:c r="D58" s="121" t="str">
        <x:v>Batch thất bại, retry hệ thống, duplicate cùng job_id không tính thêm.</x:v>
      </x:c>
    </x:row>
    <x:row r="59" ht="15.75" customHeight="1">
      <x:c r="A59" s="94" t="str">
        <x:v>Hóa đơn tháng cơ sở</x:v>
      </x:c>
      <x:c r="B59" s="143" t="n">
        <x:f>B57+B58*'1_Cost_Job'!B11</x:f>
        <x:v>3660</x:v>
      </x:c>
      <x:c r="C59" s="94"/>
      <x:c r="D59" s="121"/>
    </x:row>
    <x:row r="60" ht="15.75" customHeight="1">
      <x:c r="A60" s="94" t="str">
        <x:v>Giá hiệu dụng cơ sở / job</x:v>
      </x:c>
      <x:c r="B60" s="143" t="n">
        <x:f>B59/'1_Cost_Job'!B11</x:f>
        <x:v>203.33333333333334</x:v>
      </x:c>
      <x:c r="C60" s="94"/>
      <x:c r="D60" s="121"/>
    </x:row>
    <x:row r="61" ht="15.75" customHeight="1">
      <x:c r="A61" s="94" t="str">
        <x:v>COGS tháng</x:v>
      </x:c>
      <x:c r="B61" s="143" t="n">
        <x:f>'1_Cost_Job'!B116</x:f>
        <x:v>1042.266214</x:v>
      </x:c>
      <x:c r="C61" s="94"/>
      <x:c r="D61" s="121"/>
    </x:row>
    <x:row r="62" ht="15.75" customHeight="1">
      <x:c r="A62" s="94" t="str">
        <x:v>GM Hybrid tháng</x:v>
      </x:c>
      <x:c r="B62" s="120" t="n">
        <x:f>1-B61/B59</x:f>
        <x:v>0.7152278103825136</x:v>
      </x:c>
      <x:c r="C62" s="94"/>
      <x:c r="D62" s="121"/>
    </x:row>
    <x:row r="63" ht="15.75" customHeight="1">
      <x:c r="A63" s="94" t="str">
        <x:v>Marge sau COGS + OPEX phân bổ</x:v>
      </x:c>
      <x:c r="B63" s="120" t="n">
        <x:f>1-(B61+'1_Cost_Job'!B121)/B59</x:f>
        <x:v>0.38735895792349717</x:v>
      </x:c>
      <x:c r="C63" s="94"/>
      <x:c r="D63" s="121"/>
    </x:row>
    <x:row r="64" ht="15.75" customHeight="1">
      <x:c r="A64" s="94" t="str">
        <x:v>Completion tối thiểu GM 60% — Hybrid</x:v>
      </x:c>
      <x:c r="B64" s="120" t="n">
        <x:f>MAX(0,(B61/(1-B32)-B57)/(B58*'1_Cost_Job'!B9))</x:f>
        <x:v>0.4606939729166665</x:v>
      </x:c>
      <x:c r="C64" s="94"/>
      <x:c r="D64" s="121"/>
    </x:row>
    <x:row r="65" ht="15.75" customHeight="1">
      <x:c r="A65" s="94" t="str">
        <x:v>Completion tối thiểu GM 50% — Hybrid</x:v>
      </x:c>
      <x:c r="B65" s="120" t="n">
        <x:f>MAX(0,(B61/0.5-B57)/(B58*'1_Cost_Job'!B9))</x:f>
        <x:v>0.24355517833333332</x:v>
      </x:c>
      <x:c r="C65" s="94"/>
      <x:c r="D65" s="121"/>
    </x:row>
    <x:row r="66" ht="15.75" customHeight="1">
      <x:c r="A66" s="94"/>
      <x:c r="B66" s="94"/>
      <x:c r="C66" s="94"/>
      <x:c r="D66" s="121"/>
    </x:row>
    <x:row r="67" ht="48" customHeight="1">
      <x:c r="A67" s="94" t="str">
        <x:v>Baseline phút chọn / frame</x:v>
      </x:c>
      <x:c r="B67" s="117" t="n">
        <x:v>2.5</x:v>
      </x:c>
      <x:c r="C67" s="94"/>
      <x:c r="D67" s="121" t="str">
        <x:v>Giả định manual 2,5 phút/frame cần đọc cảnh/bối cảnh. Phải time-study, không claim tiết kiệm đã đo.</x:v>
      </x:c>
    </x:row>
    <x:row r="68" ht="48" customHeight="1">
      <x:c r="A68" s="94" t="str">
        <x:v>Review/curate giờ khách / job</x:v>
      </x:c>
      <x:c r="B68" s="117" t="n">
        <x:v>5</x:v>
      </x:c>
      <x:c r="C68" s="94"/>
      <x:c r="D68" s="121" t="str">
        <x:v>Giả định 5 giờ/batch còn lại sau AI; mọi batch cần Reviewer.</x:v>
      </x:c>
    </x:row>
    <x:row r="69" ht="15.75" customHeight="1">
      <x:c r="A69" s="94" t="str">
        <x:v>Giờ manual cơ sở</x:v>
      </x:c>
      <x:c r="B69" s="144" t="n">
        <x:f>'1_Cost_Job'!B11*'1_Cost_Job'!B83*B67/60</x:f>
        <x:v>750</x:v>
      </x:c>
      <x:c r="C69" s="94"/>
      <x:c r="D69" s="121"/>
    </x:row>
    <x:row r="70" ht="15.75" customHeight="1">
      <x:c r="A70" s="94" t="str">
        <x:v>Giờ khách vẫn làm sau AI</x:v>
      </x:c>
      <x:c r="B70" s="144" t="n">
        <x:f>'1_Cost_Job'!B11*B68</x:f>
        <x:v>90</x:v>
      </x:c>
      <x:c r="C70" s="94"/>
      <x:c r="D70" s="121"/>
    </x:row>
    <x:row r="71" ht="15.75" customHeight="1">
      <x:c r="A71" s="94" t="str">
        <x:v>Tiết kiệm giả định USD/tháng</x:v>
      </x:c>
      <x:c r="B71" s="143" t="n">
        <x:f>(B69-B70)*'1_Cost_Job'!B102</x:f>
        <x:v>16500</x:v>
      </x:c>
      <x:c r="C71" s="94"/>
      <x:c r="D71" s="121"/>
    </x:row>
    <x:row r="72" ht="48" customHeight="1">
      <x:c r="A72" s="94" t="str">
        <x:v>Pool nhân sự so sánh USD/tháng</x:v>
      </x:c>
      <x:c r="B72" s="115" t="n">
        <x:v>16000</x:v>
      </x:c>
      <x:c r="C72" s="94"/>
      <x:c r="D72" s="121" t="str">
        <x:v>4 FTE × 160 giờ × 25 USD; alternative ceiling, không tuyên bố sa thải/thay hết 4 người.</x:v>
      </x:c>
    </x:row>
    <x:row r="73" ht="15.75" customHeight="1">
      <x:c r="A73" s="94" t="str">
        <x:v>Trần hóa đơn theo 25% giá trị</x:v>
      </x:c>
      <x:c r="B73" s="143" t="n">
        <x:f>B71*0.25</x:f>
        <x:v>4125</x:v>
      </x:c>
      <x:c r="C73" s="94"/>
      <x:c r="D73" s="121"/>
    </x:row>
    <x:row r="74" ht="15.75" customHeight="1">
      <x:c r="A74" s="94" t="str">
        <x:v>Phút manual tối thiểu để hợp neo 25%</x:v>
      </x:c>
      <x:c r="B74" s="143" t="n">
        <x:f>(B59/0.25/'1_Cost_Job'!B102+B70)*60/('1_Cost_Job'!B11*'1_Cost_Job'!B83)</x:f>
        <x:v>2.252</x:v>
      </x:c>
      <x:c r="C74" s="94"/>
      <x:c r="D74" s="121"/>
    </x:row>
    <x:row r="75" ht="15.75" customHeight="1">
      <x:c r="A75" s="94" t="str">
        <x:v>Giờ support/tháng tối đa GM 60%</x:v>
      </x:c>
      <x:c r="B75" s="143" t="n">
        <x:f>'1_Cost_Job'!B96+((1-B32)*B59-B61)/'1_Cost_Job'!B102</x:f>
        <x:v>31.86935144</x:v>
      </x:c>
      <x:c r="C75" s="94"/>
      <x:c r="D75" s="121"/>
    </x:row>
    <x:row r="76" ht="15.75" customHeight="1">
      <x:c r="A76" s="94" t="str">
        <x:v>Giờ support/tháng tối đa GM 50%</x:v>
      </x:c>
      <x:c r="B76" s="143" t="n">
        <x:f>'1_Cost_Job'!B96+(0.5*B59-B61)/'1_Cost_Job'!B102</x:f>
        <x:v>46.50935144</x:v>
      </x:c>
      <x:c r="C76" s="94"/>
      <x:c r="D76" s="121"/>
    </x:row>
    <x:row r="77" ht="15.75" customHeight="1">
      <x:c r="A77" s="94"/>
      <x:c r="B77" s="94"/>
      <x:c r="C77" s="94"/>
      <x:c r="D77" s="121"/>
    </x:row>
    <x:row r="78" ht="50" customHeight="1">
      <x:c r="A78" s="54" t="str">
        <x:v>B19/B21/B33 của mẫu là đơn giá HIỆU DỤNG tại 18 job hoàn thành. B33 giữ giá hiệu dụng cố định, không phải ngưỡng hợp đồng Hybrid. Ngưỡng đúng theo hóa đơn B57 + B58 × 20 × c là B64; nếu &gt;100% thì không có tỷ lệ hoàn thành nào cứu được giá hiện tại.</x:v>
      </x:c>
      <x:c r="B78" s="54" t="str">
        <x:v>B19/B21/B33 của mẫu là đơn giá HIỆU DỤNG tại 18 job hoàn thành. B33 giữ giá hiệu dụng cố định, không phải ngưỡng hợp đồng Hybrid. Ngưỡng đúng theo hóa đơn B57 + B58 × 20 × c là B64; nếu &gt;100% thì không có tỷ lệ hoàn thành nào cứu được giá hiện tại.</x:v>
      </x:c>
      <x:c r="C78" s="54" t="str">
        <x:v>B19/B21/B33 của mẫu là đơn giá HIỆU DỤNG tại 18 job hoàn thành. B33 giữ giá hiệu dụng cố định, không phải ngưỡng hợp đồng Hybrid. Ngưỡng đúng theo hóa đơn B57 + B58 × 20 × c là B64; nếu &gt;100% thì không có tỷ lệ hoàn thành nào cứu được giá hiện tại.</x:v>
      </x:c>
      <x:c r="D78" s="54" t="str">
        <x:v>B19/B21/B33 của mẫu là đơn giá HIỆU DỤNG tại 18 job hoàn thành. B33 giữ giá hiệu dụng cố định, không phải ngưỡng hợp đồng Hybrid. Ngưỡng đúng theo hóa đơn B57 + B58 × 20 × c là B64; nếu &gt;100% thì không có tỷ lệ hoàn thành nào cứu được giá hiện tại.</x:v>
      </x:c>
    </x:row>
    <x:row r="79" ht="50" customHeight="1">
      <x:c r="A79" s="54" t="str">
        <x:v>Gói pilot: tối đa 20 job thử/tháng; tối đa 3.900 USD khi cả 20 hoàn thành. Không thu hai lần: phí nền mua workflow/support, không mua credits; phần batch thu từ job đầu tiên. Vượt volume/size/retention hoặc đổi model cần khách phê duyệt trước.</x:v>
      </x:c>
      <x:c r="B79" s="54" t="str">
        <x:v>Gói pilot: tối đa 20 job thử/tháng; tối đa 3.900 USD khi cả 20 hoàn thành. Không thu hai lần: phí nền mua workflow/support, không mua credits; phần batch thu từ job đầu tiên. Vượt volume/size/retention hoặc đổi model cần khách phê duyệt trước.</x:v>
      </x:c>
      <x:c r="C79" s="54" t="str">
        <x:v>Gói pilot: tối đa 20 job thử/tháng; tối đa 3.900 USD khi cả 20 hoàn thành. Không thu hai lần: phí nền mua workflow/support, không mua credits; phần batch thu từ job đầu tiên. Vượt volume/size/retention hoặc đổi model cần khách phê duyệt trước.</x:v>
      </x:c>
      <x:c r="D79" s="54" t="str">
        <x:v>Gói pilot: tối đa 20 job thử/tháng; tối đa 3.900 USD khi cả 20 hoàn thành. Không thu hai lần: phí nền mua workflow/support, không mua credits; phần batch thu từ job đầu tiên. Vượt volume/size/retention hoặc đổi model cần khách phê duyệt trước.</x:v>
      </x:c>
    </x:row>
    <x:row r="80" ht="15.75" customHeight="1">
      <x:c r="A80" s="94"/>
      <x:c r="B80" s="94"/>
      <x:c r="C80" s="94"/>
      <x:c r="D80" s="121"/>
    </x:row>
    <x:row r="81" ht="40" customHeight="1">
      <x:c r="A81" s="121" t="str">
        <x:v>Completion giả định</x:v>
      </x:c>
      <x:c r="B81" s="121" t="str">
        <x:v>COGS/job</x:v>
      </x:c>
      <x:c r="C81" s="121" t="str">
        <x:v>Hóa đơn Hybrid/tháng</x:v>
      </x:c>
      <x:c r="D81" s="121" t="str">
        <x:v>GM Hybrid</x:v>
      </x:c>
    </x:row>
    <x:row r="82" ht="15.75" customHeight="1">
      <x:c r="A82" s="145" t="n">
        <x:v>0.5</x:v>
      </x:c>
      <x:c r="B82" s="143" t="n">
        <x:f>$B$61/('1_Cost_Job'!$B$9*A82)</x:f>
        <x:v>104.2266214</x:v>
      </x:c>
      <x:c r="C82" s="143" t="n">
        <x:f>$B$57+$B$58*'1_Cost_Job'!$B$9*A82</x:f>
        <x:v>2700</x:v>
      </x:c>
      <x:c r="D82" s="148" t="n">
        <x:f>1-$B$61/C82</x:f>
        <x:v>0.6139754762962963</x:v>
      </x:c>
    </x:row>
    <x:row r="83" ht="15.75" customHeight="1">
      <x:c r="A83" s="145" t="n">
        <x:v>0.6</x:v>
      </x:c>
      <x:c r="B83" s="143" t="n">
        <x:f>$B$61/('1_Cost_Job'!$B$9*A83)</x:f>
        <x:v>86.85551783333334</x:v>
      </x:c>
      <x:c r="C83" s="143" t="n">
        <x:f>$B$57+$B$58*'1_Cost_Job'!$B$9*A83</x:f>
        <x:v>2940</x:v>
      </x:c>
      <x:c r="D83" s="148" t="n">
        <x:f>1-$B$61/C83</x:f>
        <x:v>0.6454876823129252</x:v>
      </x:c>
    </x:row>
    <x:row r="84" ht="15.75" customHeight="1">
      <x:c r="A84" s="145" t="n">
        <x:v>0.7</x:v>
      </x:c>
      <x:c r="B84" s="143" t="n">
        <x:f>$B$61/('1_Cost_Job'!$B$9*A84)</x:f>
        <x:v>74.44758671428572</x:v>
      </x:c>
      <x:c r="C84" s="143" t="n">
        <x:f>$B$57+$B$58*'1_Cost_Job'!$B$9*A84</x:f>
        <x:v>3180</x:v>
      </x:c>
      <x:c r="D84" s="148" t="n">
        <x:f>1-$B$61/C84</x:f>
        <x:v>0.6722433289308176</x:v>
      </x:c>
    </x:row>
    <x:row r="85" ht="15.75" customHeight="1">
      <x:c r="A85" s="145" t="n">
        <x:v>0.8</x:v>
      </x:c>
      <x:c r="B85" s="143" t="n">
        <x:f>$B$61/('1_Cost_Job'!$B$9*A85)</x:f>
        <x:v>65.141638375</x:v>
      </x:c>
      <x:c r="C85" s="143" t="n">
        <x:f>$B$57+$B$58*'1_Cost_Job'!$B$9*A85</x:f>
        <x:v>3420</x:v>
      </x:c>
      <x:c r="D85" s="148" t="n">
        <x:f>1-$B$61/C85</x:f>
        <x:v>0.6952437970760235</x:v>
      </x:c>
    </x:row>
    <x:row r="86" ht="15.75" customHeight="1">
      <x:c r="A86" s="145" t="n">
        <x:v>0.9</x:v>
      </x:c>
      <x:c r="B86" s="143" t="n">
        <x:f>$B$61/('1_Cost_Job'!$B$9*A86)</x:f>
        <x:v>57.90367855555556</x:v>
      </x:c>
      <x:c r="C86" s="143" t="n">
        <x:f>$B$57+$B$58*'1_Cost_Job'!$B$9*A86</x:f>
        <x:v>3660</x:v>
      </x:c>
      <x:c r="D86" s="148" t="n">
        <x:f>1-$B$61/C86</x:f>
        <x:v>0.7152278103825136</x:v>
      </x:c>
    </x:row>
    <x:row r="87" ht="15.75" customHeight="1">
      <x:c r="A87" s="145" t="n">
        <x:v>0.95</x:v>
      </x:c>
      <x:c r="B87" s="143" t="n">
        <x:f>$B$61/('1_Cost_Job'!$B$9*A87)</x:f>
        <x:v>54.85611652631579</x:v>
      </x:c>
      <x:c r="C87" s="143" t="n">
        <x:f>$B$57+$B$58*'1_Cost_Job'!$B$9*A87</x:f>
        <x:v>3780</x:v>
      </x:c>
      <x:c r="D87" s="148" t="n">
        <x:f>1-$B$61/C87</x:f>
        <x:v>0.7242681973544973</x:v>
      </x:c>
    </x:row>
    <x:row r="88" ht="15.75" customHeight="1">
      <x:c r="A88" s="94"/>
      <x:c r="B88" s="94"/>
      <x:c r="C88" s="94"/>
      <x:c r="D88" s="121"/>
    </x:row>
    <x:row r="89" ht="25" customHeight="1">
      <x:c r="A89" s="113" t="str">
        <x:v>STRESS TEST — COGS THAY ĐỔI</x:v>
      </x:c>
      <x:c r="B89" s="113" t="str">
        <x:v>STRESS TEST — COGS THAY ĐỔI</x:v>
      </x:c>
      <x:c r="C89" s="113" t="str">
        <x:v>STRESS TEST — COGS THAY ĐỔI</x:v>
      </x:c>
      <x:c r="D89" s="124" t="str">
        <x:v>STRESS TEST — COGS THAY ĐỔI</x:v>
      </x:c>
    </x:row>
    <x:row r="90" ht="15.75" customHeight="1">
      <x:c r="A90" s="94" t="str">
        <x:v>Kịch bản</x:v>
      </x:c>
      <x:c r="B90" s="94" t="str">
        <x:v>COGS tháng</x:v>
      </x:c>
      <x:c r="C90" s="94" t="str">
        <x:v>GM Hybrid</x:v>
      </x:c>
      <x:c r="D90" s="121" t="str">
        <x:v>Cách tính / phạm vi</x:v>
      </x:c>
    </x:row>
    <x:row r="91" ht="15.75" customHeight="1">
      <x:c r="A91" s="94" t="str">
        <x:v>GPU giây/frame × 2</x:v>
      </x:c>
      <x:c r="B91" s="143" t="n">
        <x:f>$B$61+'1_Cost_Job'!B9*'1_Cost_Job'!B105*(1+'1_Cost_Job'!B46)</x:f>
        <x:v>1054.8536139999999</x:v>
      </x:c>
      <x:c r="C91" s="120" t="n">
        <x:f>1-B91/$B$59</x:f>
        <x:v>0.7117886300546448</x:v>
      </x:c>
      <x:c r="D91" s="121" t="str">
        <x:v>Chỉ tăng GPU; giữ CPU/RAM/time-study khác</x:v>
      </x:c>
    </x:row>
    <x:row r="92" ht="15.75" customHeight="1">
      <x:c r="A92" s="94" t="str">
        <x:v>Support hours × 2</x:v>
      </x:c>
      <x:c r="B92" s="143" t="n">
        <x:f>$B$61+'1_Cost_Job'!B96*'1_Cost_Job'!B102</x:f>
        <x:v>1417.266214</x:v>
      </x:c>
      <x:c r="C92" s="120" t="n">
        <x:f>1-B92/$B$59</x:f>
        <x:v>0.612768793989071</x:v>
      </x:c>
      <x:c r="D92" s="121" t="str">
        <x:v>15 → 30 giờ/tháng, cùng hourly rate</x:v>
      </x:c>
    </x:row>
    <x:row r="93" ht="15.75" customHeight="1">
      <x:c r="A93" s="94" t="str">
        <x:v>Fixed delivery COGS × 2</x:v>
      </x:c>
      <x:c r="B93" s="143" t="n">
        <x:f>$B$61+'1_Cost_Job'!B113</x:f>
        <x:v>1942.266214</x:v>
      </x:c>
      <x:c r="C93" s="120" t="n">
        <x:f>1-B93/$B$59</x:f>
        <x:v>0.46932617103825136</x:v>
      </x:c>
      <x:c r="D93" s="121" t="str">
        <x:v>Tenant/VPC/support/security dự phòng đồng loạt tăng</x:v>
      </x:c>
    </x:row>
    <x:row r="94" ht="15.75" customHeight="1">
      <x:c r="A94" s="94" t="str">
        <x:v>Unit labor rate × 2</x:v>
      </x:c>
      <x:c r="B94" s="143" t="n">
        <x:f>$B$61+('1_Cost_Job'!B96+'1_Cost_Job'!B97)*'1_Cost_Job'!B102+'1_Cost_Job'!B9*'1_Cost_Job'!B115</x:f>
        <x:v>1642.266214</x:v>
      </x:c>
      <x:c r="C94" s="120" t="n">
        <x:f>1-B94/$B$59</x:f>
        <x:v>0.5512933841530054</x:v>
      </x:c>
      <x:c r="D94" s="121" t="str">
        <x:v>QA + delivery support + security/eval; OPEX chưa cộng</x:v>
      </x:c>
    </x:row>
    <x:row r="95" ht="15.75" customHeight="1">
      <x:c r="A95" s="94" t="str">
        <x:v>Vendor list rates +25%</x:v>
      </x:c>
      <x:c r="B95" s="143" t="n">
        <x:f>$B$61+0.25*('1_Cost_Job'!B9*('1_Cost_Job'!B108+'1_Cost_Job'!B109+'1_Cost_Job'!B112)+'1_Cost_Job'!B111+'6_Benchmarks'!B52)</x:f>
        <x:v>1114.8327675</x:v>
      </x:c>
      <x:c r="C95" s="120" t="n">
        <x:f>1-B95/$B$59</x:f>
        <x:v>0.6954008831967213</x:v>
      </x:c>
      <x:c r="D95" s="121" t="str">
        <x:v>Tăng compute/storage/egress/Team; không đổi lương</x:v>
      </x:c>
    </x:row>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56:D56"/>
    <x:mergeCell ref="A78:D78"/>
    <x:mergeCell ref="A79:D79"/>
    <x:mergeCell ref="A89:D89"/>
  </x:mergeCells>
  <x:conditionalFormatting sqref="D82:D87">
    <x:cfRule type="cellIs" dxfId="0" priority="1" operator="lessThan">
      <x:formula>0.6</x:formula>
    </x:cfRule>
    <x:cfRule type="cellIs" dxfId="1" priority="2" operator="greaterThanOrEqual">
      <x:formula>0.6</x:formula>
    </x:cfRule>
  </x:conditionalFormatting>
  <x:conditionalFormatting sqref="C91:C95">
    <x:cfRule type="cellIs" dxfId="2" priority="3" operator="lessThan">
      <x:formula>0.6</x:formula>
    </x:cfRule>
    <x:cfRule type="cellIs" dxfId="3" priority="4" operator="greaterThanOrEqual">
      <x:formula>0.6</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pane ySplit="2" topLeftCell="A3" activePane="bottomLeft" state="frozen"/>
    </x:sheetView>
  </x:sheetViews>
  <x:sheetFormatPr defaultColWidth="14.430000305175781" defaultRowHeight="15"/>
  <x:cols>
    <x:col min="1" max="1" width="64" hidden="0" customWidth="1"/>
    <x:col min="2" max="2" width="27" hidden="0" customWidth="1"/>
    <x:col min="3" max="3" width="15" hidden="0" customWidth="1"/>
    <x:col min="4" max="4" width="67" hidden="0" customWidth="1"/>
    <x:col min="5" max="8" width="15" customWidth="1"/>
    <x:col min="9" max="26" width="8.710000038146973" customWidth="1"/>
  </x:cols>
  <x:sheetData>
    <x:row r="1" ht="24" customHeight="1">
      <x:c r="A1" s="91" t="s">
        <x:v>176</x:v>
      </x:c>
      <x:c r="B1" s="92"/>
      <x:c r="C1" s="92"/>
      <x:c r="D1" s="92"/>
      <x:c r="E1" s="2"/>
      <x:c r="F1" s="2"/>
      <x:c r="G1" s="2"/>
      <x:c r="H1" s="2"/>
    </x:row>
    <x:row r="2">
      <x:c r="A2" s="93" t="s">
        <x:v>177</x:v>
      </x:c>
      <x:c r="B2" s="94"/>
      <x:c r="C2" s="94"/>
      <x:c r="D2" s="94"/>
    </x:row>
    <x:row r="3">
      <x:c r="A3" s="94"/>
      <x:c r="B3" s="94"/>
      <x:c r="C3" s="94"/>
      <x:c r="D3" s="121"/>
    </x:row>
    <x:row r="4">
      <x:c r="A4" s="95" t="s">
        <x:v>178</x:v>
      </x:c>
      <x:c r="B4" s="96"/>
      <x:c r="C4" s="96"/>
      <x:c r="D4" s="122"/>
      <x:c r="E4" s="10"/>
      <x:c r="F4" s="10"/>
      <x:c r="G4" s="10"/>
      <x:c r="H4" s="10"/>
    </x:row>
    <x:row r="5">
      <x:c r="A5" s="97" t="s">
        <x:v>179</x:v>
      </x:c>
      <x:c r="B5" s="99" t="n">
        <x:v>1</x:v>
      </x:c>
      <x:c r="C5" s="94"/>
      <x:c r="D5" s="121"/>
    </x:row>
    <x:row r="6">
      <x:c r="A6" s="97" t="s">
        <x:v>180</x:v>
      </x:c>
      <x:c r="B6" s="99" t="n">
        <x:v>0</x:v>
      </x:c>
      <x:c r="C6" s="94"/>
      <x:c r="D6" s="121"/>
    </x:row>
    <x:row r="7">
      <x:c r="A7" s="97" t="s">
        <x:v>181</x:v>
      </x:c>
      <x:c r="B7" s="99" t="n">
        <x:v>0</x:v>
      </x:c>
      <x:c r="C7" s="94"/>
      <x:c r="D7" s="121"/>
    </x:row>
    <x:row r="8">
      <x:c r="A8" s="97" t="s">
        <x:v>182</x:v>
      </x:c>
      <x:c r="B8" s="99" t="n">
        <x:v>0</x:v>
      </x:c>
      <x:c r="C8" s="94"/>
      <x:c r="D8" s="121"/>
    </x:row>
    <x:row r="9">
      <x:c r="A9" s="97" t="s">
        <x:v>183</x:v>
      </x:c>
      <x:c r="B9" s="99" t="n">
        <x:v>1</x:v>
      </x:c>
      <x:c r="C9" s="94"/>
      <x:c r="D9" s="121"/>
    </x:row>
    <x:row r="10">
      <x:c r="A10" s="105" t="s">
        <x:v>184</x:v>
      </x:c>
      <x:c r="B10" s="151" t="n">
        <x:f>SUM(B5:B9)</x:f>
        <x:v>2</x:v>
      </x:c>
      <x:c r="C10" s="94"/>
      <x:c r="D10" s="121"/>
    </x:row>
    <x:row r="11">
      <x:c r="A11" s="94"/>
      <x:c r="B11" s="94"/>
      <x:c r="C11" s="94"/>
      <x:c r="D11" s="121"/>
    </x:row>
    <x:row r="12">
      <x:c r="A12" s="95" t="s">
        <x:v>185</x:v>
      </x:c>
      <x:c r="B12" s="96"/>
      <x:c r="C12" s="96"/>
      <x:c r="D12" s="122"/>
      <x:c r="E12" s="10"/>
      <x:c r="F12" s="10"/>
      <x:c r="G12" s="10"/>
      <x:c r="H12" s="10"/>
    </x:row>
    <x:row r="13">
      <x:c r="A13" s="97" t="s">
        <x:v>186</x:v>
      </x:c>
      <x:c r="B13" s="99" t="n">
        <x:v>0</x:v>
      </x:c>
      <x:c r="C13" s="94"/>
      <x:c r="D13" s="121"/>
    </x:row>
    <x:row r="14">
      <x:c r="A14" s="97" t="s">
        <x:v>187</x:v>
      </x:c>
      <x:c r="B14" s="99" t="n">
        <x:v>0</x:v>
      </x:c>
      <x:c r="C14" s="94"/>
      <x:c r="D14" s="121"/>
    </x:row>
    <x:row r="15">
      <x:c r="A15" s="97" t="s">
        <x:v>188</x:v>
      </x:c>
      <x:c r="B15" s="99" t="n">
        <x:v>1</x:v>
      </x:c>
      <x:c r="C15" s="94"/>
      <x:c r="D15" s="121"/>
    </x:row>
    <x:row r="16">
      <x:c r="A16" s="97" t="s">
        <x:v>189</x:v>
      </x:c>
      <x:c r="B16" s="99" t="n">
        <x:v>0</x:v>
      </x:c>
      <x:c r="C16" s="94"/>
      <x:c r="D16" s="121"/>
    </x:row>
    <x:row r="17">
      <x:c r="A17" s="97" t="s">
        <x:v>190</x:v>
      </x:c>
      <x:c r="B17" s="99" t="n">
        <x:v>0</x:v>
      </x:c>
      <x:c r="C17" s="94"/>
      <x:c r="D17" s="121"/>
    </x:row>
    <x:row r="18">
      <x:c r="A18" s="105" t="s">
        <x:v>191</x:v>
      </x:c>
      <x:c r="B18" s="151" t="n">
        <x:f>SUM(B13:B17)</x:f>
        <x:v>1</x:v>
      </x:c>
      <x:c r="C18" s="94"/>
      <x:c r="D18" s="121"/>
    </x:row>
    <x:row r="19">
      <x:c r="A19" s="94"/>
      <x:c r="B19" s="94"/>
      <x:c r="C19" s="94"/>
      <x:c r="D19" s="121"/>
    </x:row>
    <x:row r="20">
      <x:c r="A20" s="95" t="s">
        <x:v>192</x:v>
      </x:c>
      <x:c r="B20" s="96"/>
      <x:c r="C20" s="96"/>
      <x:c r="D20" s="122"/>
      <x:c r="E20" s="10"/>
      <x:c r="F20" s="10"/>
      <x:c r="G20" s="10"/>
      <x:c r="H20" s="10"/>
    </x:row>
    <x:row r="21" ht="15.75" customHeight="1">
      <x:c r="A21" s="105" t="s">
        <x:v>193</x:v>
      </x:c>
      <x:c r="B21" s="152" t="str">
        <x:f>IF(AND(B10&gt;=7,B18&gt;=7),"OUTCOME",IF(AND(B10&gt;=7,B18&lt;7),"USAGE",IF(AND(B10&lt;7,B18&gt;=7),"USAGE (an toàn)","SEAT hoặc HYBRID")))</x:f>
        <x:v>SEAT hoặc HYBRID</x:v>
      </x:c>
      <x:c r="C21" s="94"/>
      <x:c r="D21" s="121"/>
    </x:row>
    <x:row r="22" ht="15.75" customHeight="1">
      <x:c r="A22" s="93" t="s">
        <x:v>194</x:v>
      </x:c>
      <x:c r="B22" s="94"/>
      <x:c r="C22" s="94"/>
      <x:c r="D22" s="121"/>
    </x:row>
    <x:row r="23" ht="15.75" customHeight="1">
      <x:c r="A23" s="94"/>
      <x:c r="B23" s="94"/>
      <x:c r="C23" s="94"/>
      <x:c r="D23" s="121"/>
    </x:row>
    <x:row r="24" ht="15.75" customHeight="1">
      <x:c r="A24" s="95" t="s">
        <x:v>195</x:v>
      </x:c>
      <x:c r="B24" s="96"/>
      <x:c r="C24" s="96"/>
      <x:c r="D24" s="122"/>
      <x:c r="E24" s="10"/>
      <x:c r="F24" s="10"/>
      <x:c r="G24" s="10"/>
      <x:c r="H24" s="10"/>
    </x:row>
    <x:row r="25" ht="15.75" customHeight="1">
      <x:c r="A25" s="141" t="s">
        <x:v>196</x:v>
      </x:c>
      <x:c r="B25" s="141" t="s">
        <x:v>197</x:v>
      </x:c>
      <x:c r="C25" s="141" t="s">
        <x:v>198</x:v>
      </x:c>
      <x:c r="D25" s="146" t="s">
        <x:v>199</x:v>
      </x:c>
    </x:row>
    <x:row r="26" ht="76" customHeight="1">
      <x:c r="A26" s="154" t="str">
        <x:v>Encord Index / Active</x:v>
      </x:c>
      <x:c r="B26" s="154" t="str">
        <x:v>Platform + volume tiers</x:v>
      </x:c>
      <x:c r="C26" s="154" t="str">
        <x:v>Enterprise: báo giá riêng; không công bố USD</x:v>
      </x:c>
      <x:c r="D26" s="154" t="str">
        <x:v>https://encord.com/pricing/</x:v>
      </x:c>
    </x:row>
    <x:row r="27" ht="76" customHeight="1">
      <x:c r="A27" s="154" t="str">
        <x:v>Roboflow Data / Active Learning</x:v>
      </x:c>
      <x:c r="B27" s="154" t="str">
        <x:v>Credits / Hybrid</x:v>
      </x:c>
      <x:c r="C27" s="154" t="str">
        <x:v>Core 39 USD/tháng; tổng 20 credits; flex 6 USD/credit</x:v>
      </x:c>
      <x:c r="D27" s="154" t="str">
        <x:v>https://roboflow.com/pricing ; https://roboflow.com/credits</x:v>
      </x:c>
    </x:row>
    <x:row r="28" ht="15.75" customHeight="1">
      <x:c r="A28" s="94"/>
      <x:c r="B28" s="94"/>
      <x:c r="C28" s="94"/>
      <x:c r="D28" s="121"/>
    </x:row>
    <x:row r="29" ht="15.75" customHeight="1">
      <x:c r="A29" s="95" t="s">
        <x:v>200</x:v>
      </x:c>
      <x:c r="B29" s="96"/>
      <x:c r="C29" s="96"/>
      <x:c r="D29" s="122"/>
      <x:c r="E29" s="10"/>
      <x:c r="F29" s="10"/>
      <x:c r="G29" s="10"/>
      <x:c r="H29" s="10"/>
    </x:row>
    <x:row r="30" ht="15.75" customHeight="1">
      <x:c r="A30" s="97" t="s">
        <x:v>201</x:v>
      </x:c>
      <x:c r="B30" s="98" t="str">
        <x:v>Hybrid</x:v>
      </x:c>
      <x:c r="C30" s="94"/>
      <x:c r="D30" s="121"/>
    </x:row>
    <x:row r="31" ht="58" customHeight="1">
      <x:c r="A31" s="97" t="s">
        <x:v>202</x:v>
      </x:c>
      <x:c r="B31" s="154" t="str">
        <x:v>Khớp gợi ý SEAT hoặc HYBRID. Khách ADAS cần budget cap, RBAC/audit và review theo batch; chi phí chạy theo volume nên seat thuần có rủi ro.</x:v>
      </x:c>
      <x:c r="C31" s="121"/>
      <x:c r="D31" s="121"/>
    </x:row>
    <x:row r="32" ht="58" customHeight="1">
      <x:c r="A32" s="97" t="s">
        <x:v>203</x:v>
      </x:c>
      <x:c r="B32" s="154" t="str">
        <x:v>Chọn 1.500 USD/workspace/tháng + 120 USD/batch hoàn thành (tối đa 1.000 frame); không bán mAP, không tính theo seat.</x:v>
      </x:c>
      <x:c r="C32" s="121"/>
      <x:c r="D32" s="121"/>
    </x:row>
    <x:row r="33" ht="58" customHeight="1">
      <x:c r="A33" s="97" t="s">
        <x:v>204</x:v>
      </x:c>
      <x:c r="B33" s="154" t="str">
        <x:v>Attribution 2/10, Autonomy 1/10: audit và định nghĩa job có một phần; 192 test là QA chức năng. Chưa có customer acceptance, eval giá trị, mAP; Curator/Reviewer vẫn bắt buộc.</x:v>
      </x:c>
      <x:c r="C33" s="121"/>
      <x:c r="D33" s="121"/>
    </x:row>
    <x:row r="34" ht="58" customHeight="1">
      <x:c r="A34" s="97" t="s">
        <x:v>205</x:v>
      </x:c>
      <x:c r="B34" s="154" t="str">
        <x:v>Lỗ nếu nhận dữ liệu/retention không cap, support kéo dài hoặc batch không được duyệt; dừng pilot khi GM stress &lt;60%, đo và báo giá lại trước mở rộng.</x:v>
      </x:c>
      <x:c r="C34" s="121"/>
      <x:c r="D34" s="121"/>
    </x:row>
    <x:row r="35" ht="15.75" customHeight="1">
      <x:c r="A35" s="94"/>
      <x:c r="B35" s="94"/>
      <x:c r="C35" s="94"/>
      <x:c r="D35" s="121"/>
    </x:row>
    <x:row r="36" ht="15.75" customHeight="1">
      <x:c r="A36" s="94"/>
      <x:c r="B36" s="94"/>
      <x:c r="C36" s="94"/>
      <x:c r="D36" s="121"/>
    </x:row>
    <x:row r="37" ht="25" customHeight="1">
      <x:c r="A37" s="113" t="str">
        <x:v>BẰNG CHỨNG CHO ĐIỂM — 0 CHƯA CÓ, 1 MỘT PHẦN, 2 RÕ RÀNG</x:v>
      </x:c>
      <x:c r="B37" s="113" t="str">
        <x:v>BẰNG CHỨNG CHO ĐIỂM — 0 CHƯA CÓ, 1 MỘT PHẦN, 2 RÕ RÀNG</x:v>
      </x:c>
      <x:c r="C37" s="113" t="str">
        <x:v>BẰNG CHỨNG CHO ĐIỂM — 0 CHƯA CÓ, 1 MỘT PHẦN, 2 RÕ RÀNG</x:v>
      </x:c>
      <x:c r="D37" s="124" t="str">
        <x:v>BẰNG CHỨNG CHO ĐIỂM — 0 CHƯA CÓ, 1 MỘT PHẦN, 2 RÕ RÀNG</x:v>
      </x:c>
    </x:row>
    <x:row r="38" ht="15.75" customHeight="1">
      <x:c r="A38" s="94" t="str">
        <x:v>Attribution Q1</x:v>
      </x:c>
      <x:c r="B38" s="153" t="str">
        <x:v>1: có audit theo mô tả; chưa xác nhận lineage toàn bộ job→export→training.</x:v>
      </x:c>
      <x:c r="C38" s="94"/>
      <x:c r="D38" s="121"/>
    </x:row>
    <x:row r="39" ht="15.75" customHeight="1">
      <x:c r="A39" s="94" t="str">
        <x:v>Attribution Q2</x:v>
      </x:c>
      <x:c r="B39" s="153" t="str">
        <x:v>0: chưa có eval chọn dữ liệu/PII định lượng; 192 định nghĩa test không phải eval giá trị.</x:v>
      </x:c>
      <x:c r="C39" s="94"/>
      <x:c r="D39" s="121"/>
    </x:row>
    <x:row r="40" ht="15.75" customHeight="1">
      <x:c r="A40" s="94" t="str">
        <x:v>Attribution Q3</x:v>
      </x:c>
      <x:c r="B40" s="153" t="str">
        <x:v>0: chưa có khách trả tiền, chưa ký acceptance criteria.</x:v>
      </x:c>
      <x:c r="C40" s="94"/>
      <x:c r="D40" s="121"/>
    </x:row>
    <x:row r="41" ht="15.75" customHeight="1">
      <x:c r="A41" s="94" t="str">
        <x:v>Attribution Q4</x:v>
      </x:c>
      <x:c r="B41" s="153" t="str">
        <x:v>0: chưa A/B random sampling trên cùng budget/seed/test split; chưa causal mAP.</x:v>
      </x:c>
      <x:c r="C41" s="94"/>
      <x:c r="D41" s="121"/>
    </x:row>
    <x:row r="42" ht="15.75" customHeight="1">
      <x:c r="A42" s="94" t="str">
        <x:v>Attribution Q5</x:v>
      </x:c>
      <x:c r="B42" s="153" t="str">
        <x:v>1: định nghĩa billing đã đề xuất, chưa được khách nghiệm thu.</x:v>
      </x:c>
      <x:c r="C42" s="94"/>
      <x:c r="D42" s="121"/>
    </x:row>
    <x:row r="43" ht="15.75" customHeight="1">
      <x:c r="A43" s="94" t="str">
        <x:v>Autonomy Q1</x:v>
      </x:c>
      <x:c r="B43" s="153" t="str">
        <x:v>0: Curator chỉnh, Reviewer duyệt trước export.</x:v>
      </x:c>
      <x:c r="C43" s="94"/>
      <x:c r="D43" s="121"/>
    </x:row>
    <x:row r="44" ht="15.75" customHeight="1">
      <x:c r="A44" s="94" t="str">
        <x:v>Autonomy Q2</x:v>
      </x:c>
      <x:c r="B44" s="153" t="str">
        <x:v>0: chưa có đo chạy đêm/end-to-end vận hành.</x:v>
      </x:c>
      <x:c r="C44" s="94"/>
      <x:c r="D44" s="121"/>
    </x:row>
    <x:row r="45" ht="15.75" customHeight="1">
      <x:c r="A45" s="94" t="str">
        <x:v>Autonomy Q3</x:v>
      </x:c>
      <x:c r="B45" s="153" t="str">
        <x:v>1: có workflow review, chưa đo exception routing.</x:v>
      </x:c>
      <x:c r="C45" s="94"/>
      <x:c r="D45" s="121"/>
    </x:row>
    <x:row r="46" ht="15.75" customHeight="1">
      <x:c r="A46" s="94" t="str">
        <x:v>Autonomy Q4</x:v>
      </x:c>
      <x:c r="B46" s="153" t="str">
        <x:v>0: tất cả batch có người tham gia.</x:v>
      </x:c>
      <x:c r="C46" s="94"/>
      <x:c r="D46" s="121"/>
    </x:row>
    <x:row r="47" ht="15.75" customHeight="1">
      <x:c r="A47" s="94" t="str">
        <x:v>Autonomy Q5</x:v>
      </x:c>
      <x:c r="B47" s="153" t="str">
        <x:v>0: QA mẫu vendor không thay review từng batch của khách.</x:v>
      </x:c>
      <x:c r="C47" s="94"/>
      <x:c r="D47" s="121"/>
    </x:row>
    <x:row r="48" ht="15.75" customHeight="1">
      <x:c r="A48" s="94"/>
      <x:c r="B48" s="94"/>
      <x:c r="C48" s="94"/>
      <x:c r="D48" s="121"/>
    </x:row>
    <x:row r="49" ht="50" customHeight="1">
      <x:c r="A49" s="54" t="str">
        <x:v>Roboflow là job liền kề (dataset/labeling/inference), không phải cùng hợp đồng curation ADAS; 1 credit = 1.000 auto-labeled images, theo credits page. Encord là benchmark curation gần nhất nhưng không công khai đơn giá. Không bịa USD/asset hoặc ép so giá ngang.</x:v>
      </x:c>
      <x:c r="B49" s="54" t="str">
        <x:v>Roboflow là job liền kề (dataset/labeling/inference), không phải cùng hợp đồng curation ADAS; 1 credit = 1.000 auto-labeled images, theo credits page. Encord là benchmark curation gần nhất nhưng không công khai đơn giá. Không bịa USD/asset hoặc ép so giá ngang.</x:v>
      </x:c>
      <x:c r="C49" s="54" t="str">
        <x:v>Roboflow là job liền kề (dataset/labeling/inference), không phải cùng hợp đồng curation ADAS; 1 credit = 1.000 auto-labeled images, theo credits page. Encord là benchmark curation gần nhất nhưng không công khai đơn giá. Không bịa USD/asset hoặc ép so giá ngang.</x:v>
      </x:c>
      <x:c r="D49" s="54" t="str">
        <x:v>Roboflow là job liền kề (dataset/labeling/inference), không phải cùng hợp đồng curation ADAS; 1 credit = 1.000 auto-labeled images, theo credits page. Encord là benchmark curation gần nhất nhưng không công khai đơn giá. Không bịa USD/asset hoặc ép so giá ngang.</x:v>
      </x:c>
    </x:row>
    <x:row r="50" ht="15.75" customHeight="1">
      <x:c r="A50" s="94"/>
      <x:c r="B50" s="94"/>
      <x:c r="C50" s="94"/>
      <x:c r="D50" s="121"/>
    </x:row>
    <x:row r="51" ht="150" customHeight="1">
      <x:c r="A51" s="94" t="str">
        <x:v>Phiên bản A — công cụ</x:v>
      </x:c>
      <x:c r="B51" s="54" t="str">
        <x:v>Nền tảng AI hỗ trợ đội ADAS chọn lọc frame lái xe để gán nhãn.</x:v>
      </x:c>
      <x:c r="C51" s="94"/>
      <x:c r="D51" s="121" t="str">
        <x:v>Dễ rơi vào ngân sách phần mềm; Head of Data đề xuất, IT/CIO duyệt tool. Vai trò chưa xác nhận.</x:v>
      </x:c>
    </x:row>
    <x:row r="52" ht="150" customHeight="1">
      <x:c r="A52" s="94" t="str">
        <x:v>Phiên bản B — công việc</x:v>
      </x:c>
      <x:c r="B52" s="54" t="str">
        <x:v>Chuẩn bị batch frame lái xe đã lọc PII, có scores/shortlist và manifest được Reviewer duyệt để đưa đi gán nhãn.</x:v>
      </x:c>
      <x:c r="C52" s="94"/>
      <x:c r="D52" s="121" t="str">
        <x:v>Ngân sách R&amp;D/data operations; tiết kiệm giờ chọn batch thủ công, không cam kết tự thay Reviewer.</x:v>
      </x:c>
    </x:row>
    <x:row r="53" ht="150" customHeight="1">
      <x:c r="A53" s="94" t="str">
        <x:v>Chọn phiên bản B</x:v>
      </x:c>
      <x:c r="B53" s="54" t="str">
        <x:v>Chọn B vì có thể đối chiếu với dòng ngân sách chuẩn bị dữ liệu và giờ Curator; không neo với phí chatbot.</x:v>
      </x:c>
      <x:c r="C53" s="94"/>
      <x:c r="D53" s="121" t="str">
        <x:v>Định vị không biến thành bán outcome mAP; vẫn billing Hybrid usage có kiểm soát.</x:v>
      </x:c>
    </x:row>
    <x:row r="54" ht="150" customHeight="1">
      <x:c r="A54" s="94" t="str">
        <x:v>Người đề xuất / ký duyệt</x:v>
      </x:c>
      <x:c r="B54" s="54" t="str">
        <x:v>Head of Data/ADAS là sponsor; chủ ngân sách R&amp;D/data operations ký, Procurement/IT đánh giá.</x:v>
      </x:c>
      <x:c r="C54" s="94"/>
      <x:c r="D54" s="121" t="str">
        <x:v>Giả định buying committee cần xác nhận trong 5 phỏng vấn, chưa có hợp đồng.</x:v>
      </x:c>
    </x:row>
    <x:row r="55" ht="150" customHeight="1">
      <x:c r="A55" s="94" t="str">
        <x:v>Ngân sách thanh toán</x:v>
      </x:c>
      <x:c r="B55" s="54" t="str">
        <x:v>R&amp;D / vận hành dữ liệu ADAS; không dùng ngân sách marketing.</x:v>
      </x:c>
      <x:c r="C55" s="94"/>
      <x:c r="D55" s="121" t="str">
        <x:v>Khách mục tiêu gồm OEM/đội ADAS như VinFast, chưa có buyer hoặc willingness-to-pay được xác nhận.</x:v>
      </x:c>
    </x:row>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37:D37"/>
    <x:mergeCell ref="B38:D38"/>
    <x:mergeCell ref="B39:D39"/>
    <x:mergeCell ref="B40:D40"/>
    <x:mergeCell ref="B41:D41"/>
    <x:mergeCell ref="B42:D42"/>
    <x:mergeCell ref="B43:D43"/>
    <x:mergeCell ref="B44:D44"/>
    <x:mergeCell ref="B45:D45"/>
    <x:mergeCell ref="B46:D46"/>
    <x:mergeCell ref="B47:D47"/>
    <x:mergeCell ref="A49:D49"/>
    <x:mergeCell ref="B31:D31"/>
    <x:mergeCell ref="B32:D32"/>
    <x:mergeCell ref="B33:D33"/>
    <x:mergeCell ref="B34:D34"/>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2" topLeftCell="A3" activePane="bottomLeft" state="frozen"/>
    </x:sheetView>
  </x:sheetViews>
  <x:sheetFormatPr defaultColWidth="14.430000305175781" defaultRowHeight="15"/>
  <x:cols>
    <x:col min="1" max="1" width="64" hidden="0" customWidth="1"/>
    <x:col min="2" max="3" width="16" customWidth="1"/>
    <x:col min="4" max="4" width="67" hidden="0" customWidth="1"/>
    <x:col min="5" max="8" width="15" customWidth="1"/>
    <x:col min="9" max="26" width="8.710000038146973" customWidth="1"/>
    <x:col min="2" max="2" width="27" hidden="0" customWidth="1"/>
    <x:col min="3" max="3" width="15" hidden="0" customWidth="1"/>
  </x:cols>
  <x:sheetData>
    <x:row r="1" ht="24" customHeight="1">
      <x:c r="A1" s="91" t="s">
        <x:v>206</x:v>
      </x:c>
      <x:c r="B1" s="92"/>
      <x:c r="C1" s="92"/>
      <x:c r="D1" s="92"/>
      <x:c r="E1" s="2"/>
      <x:c r="F1" s="2"/>
      <x:c r="G1" s="2"/>
      <x:c r="H1" s="2"/>
    </x:row>
    <x:row r="2">
      <x:c r="A2" s="93" t="s">
        <x:v>207</x:v>
      </x:c>
      <x:c r="B2" s="94"/>
      <x:c r="C2" s="94"/>
      <x:c r="D2" s="94"/>
    </x:row>
    <x:row r="3">
      <x:c r="A3" s="94"/>
      <x:c r="B3" s="94"/>
      <x:c r="C3" s="94"/>
      <x:c r="D3" s="121"/>
    </x:row>
    <x:row r="4">
      <x:c r="A4" s="95" t="s">
        <x:v>208</x:v>
      </x:c>
      <x:c r="B4" s="96"/>
      <x:c r="C4" s="96"/>
      <x:c r="D4" s="122"/>
      <x:c r="E4" s="10"/>
      <x:c r="F4" s="10"/>
      <x:c r="G4" s="10"/>
      <x:c r="H4" s="10"/>
    </x:row>
    <x:row r="5">
      <x:c r="A5" s="97" t="s">
        <x:v>209</x:v>
      </x:c>
      <x:c r="B5" s="136" t="n">
        <x:f>'2_Pricing'!B59</x:f>
        <x:v>3660</x:v>
      </x:c>
      <x:c r="C5" s="94"/>
      <x:c r="D5" s="121"/>
    </x:row>
    <x:row r="6">
      <x:c r="A6" s="97" t="s">
        <x:v>210</x:v>
      </x:c>
      <x:c r="B6" s="140" t="n">
        <x:f>'2_Pricing'!B21</x:f>
        <x:v>0.7152278103825137</x:v>
      </x:c>
      <x:c r="C6" s="94"/>
      <x:c r="D6" s="121"/>
    </x:row>
    <x:row r="7">
      <x:c r="A7" s="97" t="s">
        <x:v>211</x:v>
      </x:c>
      <x:c r="B7" s="99" t="str">
        <x:v>Enterprise</x:v>
      </x:c>
      <x:c r="C7" s="94"/>
      <x:c r="D7" s="121"/>
    </x:row>
    <x:row r="8">
      <x:c r="A8" s="97" t="s">
        <x:v>212</x:v>
      </x:c>
      <x:c r="B8" s="102" t="n">
        <x:f>IF(B7="SMB",12,IF(B7="Mid",18,24))</x:f>
        <x:v>24</x:v>
      </x:c>
      <x:c r="C8" s="93" t="s">
        <x:v>213</x:v>
      </x:c>
      <x:c r="D8" s="123" t="s">
        <x:v>214</x:v>
      </x:c>
    </x:row>
    <x:row r="9">
      <x:c r="A9" s="105" t="s">
        <x:v>215</x:v>
      </x:c>
      <x:c r="B9" s="159" t="n">
        <x:f>B5*B6*B8</x:f>
        <x:v>62825.610864</x:v>
      </x:c>
      <x:c r="C9" s="94"/>
      <x:c r="D9" s="123" t="s">
        <x:v>216</x:v>
      </x:c>
    </x:row>
    <x:row r="10">
      <x:c r="A10" s="97" t="s">
        <x:v>217</x:v>
      </x:c>
      <x:c r="B10" s="160" t="n">
        <x:f>B5*12</x:f>
        <x:v>43920</x:v>
      </x:c>
      <x:c r="C10" s="94"/>
      <x:c r="D10" s="121"/>
    </x:row>
    <x:row r="11">
      <x:c r="A11" s="94"/>
      <x:c r="B11" s="94"/>
      <x:c r="C11" s="94"/>
      <x:c r="D11" s="121"/>
    </x:row>
    <x:row r="12">
      <x:c r="A12" s="95" t="s">
        <x:v>218</x:v>
      </x:c>
      <x:c r="B12" s="96"/>
      <x:c r="C12" s="96"/>
      <x:c r="D12" s="122"/>
      <x:c r="E12" s="10"/>
      <x:c r="F12" s="10"/>
      <x:c r="G12" s="10"/>
      <x:c r="H12" s="10"/>
    </x:row>
    <x:row r="13">
      <x:c r="A13" s="97" t="s">
        <x:v>219</x:v>
      </x:c>
      <x:c r="B13" s="136" t="n">
        <x:v>300000</x:v>
      </x:c>
      <x:c r="C13" s="94"/>
      <x:c r="D13" s="123" t="s">
        <x:v>220</x:v>
      </x:c>
    </x:row>
    <x:row r="14">
      <x:c r="A14" s="97" t="s">
        <x:v>221</x:v>
      </x:c>
      <x:c r="B14" s="100" t="n">
        <x:v>250</x:v>
      </x:c>
      <x:c r="C14" s="93" t="s">
        <x:v>222</x:v>
      </x:c>
      <x:c r="D14" s="121"/>
    </x:row>
    <x:row r="15">
      <x:c r="A15" s="97" t="s">
        <x:v>223</x:v>
      </x:c>
      <x:c r="B15" s="102" t="n">
        <x:f>IF(B10=0,0,B13/B10)</x:f>
        <x:v>6.830601092896175</x:v>
      </x:c>
      <x:c r="C15" s="94"/>
      <x:c r="D15" s="121"/>
    </x:row>
    <x:row r="16">
      <x:c r="A16" s="105" t="s">
        <x:v>224</x:v>
      </x:c>
      <x:c r="B16" s="161" t="n">
        <x:f>IF(B14=0,0,B15/B14)</x:f>
        <x:v>0.0273224043715847</x:v>
      </x:c>
      <x:c r="C16" s="93" t="s">
        <x:v>225</x:v>
      </x:c>
      <x:c r="D16" s="121"/>
    </x:row>
    <x:row r="17">
      <x:c r="A17" s="97" t="s">
        <x:v>226</x:v>
      </x:c>
      <x:c r="B17" s="139" t="str">
        <x:f>IF(B16&lt;=1,"KHẢ THI về mặt số học","BẤT KHẢ THI — ACV quá thấp để nuôi sales rep")</x:f>
        <x:v>KHẢ THI về mặt số học</x:v>
      </x:c>
      <x:c r="C17" s="94"/>
      <x:c r="D17" s="121"/>
    </x:row>
    <x:row r="18">
      <x:c r="A18" s="94"/>
      <x:c r="B18" s="94"/>
      <x:c r="C18" s="94"/>
      <x:c r="D18" s="121"/>
    </x:row>
    <x:row r="19">
      <x:c r="A19" s="95" t="s">
        <x:v>227</x:v>
      </x:c>
      <x:c r="B19" s="96"/>
      <x:c r="C19" s="96"/>
      <x:c r="D19" s="122"/>
      <x:c r="E19" s="10"/>
      <x:c r="F19" s="10"/>
      <x:c r="G19" s="10"/>
      <x:c r="H19" s="10"/>
    </x:row>
    <x:row r="20">
      <x:c r="A20" s="97" t="s">
        <x:v>228</x:v>
      </x:c>
      <x:c r="B20" s="136" t="n">
        <x:f>'6_Benchmarks'!B54</x:f>
        <x:v>8000</x:v>
      </x:c>
      <x:c r="C20" s="94"/>
      <x:c r="D20" s="123" t="s">
        <x:v>229</x:v>
      </x:c>
    </x:row>
    <x:row r="21" ht="15.75" customHeight="1">
      <x:c r="A21" s="97" t="s">
        <x:v>230</x:v>
      </x:c>
      <x:c r="B21" s="101" t="n">
        <x:v>0.25</x:v>
      </x:c>
      <x:c r="C21" s="94"/>
      <x:c r="D21" s="121"/>
    </x:row>
    <x:row r="22" ht="15.75" customHeight="1">
      <x:c r="A22" s="97" t="s">
        <x:v>231</x:v>
      </x:c>
      <x:c r="B22" s="160" t="n">
        <x:f>IF(B21=0,0,B20/B21)</x:f>
        <x:v>32000</x:v>
      </x:c>
      <x:c r="C22" s="94"/>
      <x:c r="D22" s="121"/>
    </x:row>
    <x:row r="23" ht="15.75" customHeight="1">
      <x:c r="A23" s="105" t="s">
        <x:v>232</x:v>
      </x:c>
      <x:c r="B23" s="162" t="n">
        <x:f>IF(B9=0,0,B22/B9)</x:f>
        <x:v>0.5093464203519026</x:v>
      </x:c>
      <x:c r="C23" s="94"/>
      <x:c r="D23" s="123" t="s">
        <x:v>233</x:v>
      </x:c>
    </x:row>
    <x:row r="24" ht="15.75" customHeight="1">
      <x:c r="A24" s="97" t="s">
        <x:v>165</x:v>
      </x:c>
      <x:c r="B24" s="139" t="str">
        <x:f>IF(B23&lt;=1,"Motion có sales KHẢ THI",IF(B23&lt;=3,"Căng — cần tăng giá hoặc giảm chi phí bán hàng","KHÔNG KHẢ THI — đi PLG hoặc Partner-Led"))</x:f>
        <x:v>Motion có sales KHẢ THI</x:v>
      </x:c>
      <x:c r="C24" s="94"/>
      <x:c r="D24" s="121"/>
    </x:row>
    <x:row r="25" ht="15.75" customHeight="1">
      <x:c r="A25" s="94"/>
      <x:c r="B25" s="94"/>
      <x:c r="C25" s="94"/>
      <x:c r="D25" s="121"/>
    </x:row>
    <x:row r="26" ht="15.75" customHeight="1">
      <x:c r="A26" s="95" t="s">
        <x:v>234</x:v>
      </x:c>
      <x:c r="B26" s="96"/>
      <x:c r="C26" s="96"/>
      <x:c r="D26" s="122"/>
      <x:c r="E26" s="10"/>
      <x:c r="F26" s="10"/>
      <x:c r="G26" s="10"/>
      <x:c r="H26" s="10"/>
    </x:row>
    <x:row r="27" ht="15.75" customHeight="1">
      <x:c r="A27" s="141" t="s">
        <x:v>235</x:v>
      </x:c>
      <x:c r="B27" s="141" t="s">
        <x:v>236</x:v>
      </x:c>
      <x:c r="C27" s="141" t="s">
        <x:v>237</x:v>
      </x:c>
      <x:c r="D27" s="146" t="s">
        <x:v>238</x:v>
      </x:c>
    </x:row>
    <x:row r="28" ht="15.75" customHeight="1">
      <x:c r="A28" s="97" t="s">
        <x:v>239</x:v>
      </x:c>
      <x:c r="B28" s="99" t="n">
        <x:v>3</x:v>
      </x:c>
      <x:c r="C28" s="99" t="n">
        <x:v>4</x:v>
      </x:c>
      <x:c r="D28" s="163" t="n">
        <x:v>2</x:v>
      </x:c>
    </x:row>
    <x:row r="29" ht="15.75" customHeight="1">
      <x:c r="A29" s="97" t="s">
        <x:v>240</x:v>
      </x:c>
      <x:c r="B29" s="99" t="n">
        <x:v>1</x:v>
      </x:c>
      <x:c r="C29" s="99" t="n">
        <x:v>3</x:v>
      </x:c>
      <x:c r="D29" s="163" t="n">
        <x:v>1</x:v>
      </x:c>
    </x:row>
    <x:row r="30" ht="15.75" customHeight="1">
      <x:c r="A30" s="97" t="s">
        <x:v>241</x:v>
      </x:c>
      <x:c r="B30" s="99" t="n">
        <x:v>2</x:v>
      </x:c>
      <x:c r="C30" s="99" t="n">
        <x:v>2</x:v>
      </x:c>
      <x:c r="D30" s="163" t="n">
        <x:v>1</x:v>
      </x:c>
    </x:row>
    <x:row r="31" ht="15.75" customHeight="1">
      <x:c r="A31" s="97" t="s">
        <x:v>242</x:v>
      </x:c>
      <x:c r="B31" s="99" t="n">
        <x:v>2</x:v>
      </x:c>
      <x:c r="C31" s="99" t="n">
        <x:v>3</x:v>
      </x:c>
      <x:c r="D31" s="163" t="n">
        <x:v>1</x:v>
      </x:c>
    </x:row>
    <x:row r="32" ht="15.75" customHeight="1">
      <x:c r="A32" s="97" t="s">
        <x:v>243</x:v>
      </x:c>
      <x:c r="B32" s="99" t="n">
        <x:v>2</x:v>
      </x:c>
      <x:c r="C32" s="99" t="n">
        <x:v>4</x:v>
      </x:c>
      <x:c r="D32" s="163" t="n">
        <x:v>2</x:v>
      </x:c>
    </x:row>
    <x:row r="33" ht="15.75" customHeight="1">
      <x:c r="A33" s="97" t="s">
        <x:v>244</x:v>
      </x:c>
      <x:c r="B33" s="99" t="n">
        <x:v>3</x:v>
      </x:c>
      <x:c r="C33" s="99" t="n">
        <x:v>4</x:v>
      </x:c>
      <x:c r="D33" s="163" t="n">
        <x:v>1</x:v>
      </x:c>
    </x:row>
    <x:row r="34" ht="15.75" customHeight="1">
      <x:c r="A34" s="105" t="s">
        <x:v>245</x:v>
      </x:c>
      <x:c r="B34" s="152" t="n">
        <x:f t="shared" ref="B34:D34" si="1">SUM(B28:B33)</x:f>
        <x:v>13</x:v>
      </x:c>
      <x:c r="C34" s="152" t="n">
        <x:f t="shared" si="1">SUM(C28:C33)</x:f>
        <x:v>20</x:v>
      </x:c>
      <x:c r="D34" s="164" t="n">
        <x:f t="shared" si="1">SUM(D28:D33)</x:f>
        <x:v>8</x:v>
      </x:c>
    </x:row>
    <x:row r="35" ht="15.75" customHeight="1">
      <x:c r="A35" s="105" t="s">
        <x:v>246</x:v>
      </x:c>
      <x:c r="B35" s="152" t="str">
        <x:f>IF(AND(B34&gt;=C34,B34&gt;=D34),"PLG",IF(C34&gt;=D34,"Sales-Led","Partner-Led"))</x:f>
        <x:v>Sales-Led</x:v>
      </x:c>
      <x:c r="C35" s="94"/>
      <x:c r="D35" s="121"/>
    </x:row>
    <x:row r="36" ht="15.75" customHeight="1">
      <x:c r="A36" s="94"/>
      <x:c r="B36" s="94"/>
      <x:c r="C36" s="94"/>
      <x:c r="D36" s="121"/>
    </x:row>
    <x:row r="37" ht="15.75" customHeight="1">
      <x:c r="A37" s="95" t="s">
        <x:v>247</x:v>
      </x:c>
      <x:c r="B37" s="96"/>
      <x:c r="C37" s="96"/>
      <x:c r="D37" s="122"/>
      <x:c r="E37" s="10"/>
      <x:c r="F37" s="10"/>
      <x:c r="G37" s="10"/>
      <x:c r="H37" s="10"/>
    </x:row>
    <x:row r="38" ht="15.75" customHeight="1">
      <x:c r="A38" s="97" t="s">
        <x:v>248</x:v>
      </x:c>
      <x:c r="B38" s="98" t="str">
        <x:v>Sales-Led</x:v>
      </x:c>
      <x:c r="C38" s="94"/>
      <x:c r="D38" s="123" t="s">
        <x:v>249</x:v>
      </x:c>
    </x:row>
    <x:row r="39" ht="52" customHeight="1">
      <x:c r="A39" s="97" t="s">
        <x:v>250</x:v>
      </x:c>
      <x:c r="B39" s="154" t="str">
        <x:v>Không áp dụng: không chọn Partner-Led.</x:v>
      </x:c>
      <x:c r="C39" s="121"/>
      <x:c r="D39" s="123" t="s">
        <x:v>251</x:v>
      </x:c>
    </x:row>
    <x:row r="40" ht="15.75" customHeight="1">
      <x:c r="A40" s="97" t="s">
        <x:v>252</x:v>
      </x:c>
      <x:c r="B40" s="98" t="str">
        <x:v>Chưa</x:v>
      </x:c>
      <x:c r="C40" s="94"/>
      <x:c r="D40" s="121"/>
    </x:row>
    <x:row r="41" ht="52" customHeight="1">
      <x:c r="A41" s="97" t="s">
        <x:v>253</x:v>
      </x:c>
      <x:c r="B41" s="154" t="str">
        <x:v>Không áp dụng: chưa có partner/quan hệ được xác nhận.</x:v>
      </x:c>
      <x:c r="C41" s="121"/>
      <x:c r="D41" s="121"/>
    </x:row>
    <x:row r="42" ht="100" customHeight="1">
      <x:c r="A42" s="97" t="s">
        <x:v>254</x:v>
      </x:c>
      <x:c r="B42" s="154" t="str">
        <x:v>Founder-led: xem B46:B60; 5 interview + 1 design partner trong tháng đầu; chưa tuyển AE.</x:v>
      </x:c>
      <x:c r="C42" s="121"/>
      <x:c r="D42" s="123" t="s">
        <x:v>255</x:v>
      </x:c>
    </x:row>
    <x:row r="43" ht="15.75" customHeight="1">
      <x:c r="A43" s="94"/>
      <x:c r="B43" s="94"/>
      <x:c r="C43" s="94"/>
      <x:c r="D43" s="121"/>
    </x:row>
    <x:row r="44" ht="15.75" customHeight="1">
      <x:c r="A44" s="94"/>
      <x:c r="B44" s="94"/>
      <x:c r="C44" s="94"/>
      <x:c r="D44" s="121"/>
    </x:row>
    <x:row r="45" ht="25" customHeight="1">
      <x:c r="A45" s="113" t="str">
        <x:v>CHI PHÍ MOTION CỦA RAV-26 — TẤT CẢ LÀ GIẢ ĐỊNH</x:v>
      </x:c>
      <x:c r="B45" s="113" t="str">
        <x:v>CHI PHÍ MOTION CỦA RAV-26 — TẤT CẢ LÀ GIẢ ĐỊNH</x:v>
      </x:c>
      <x:c r="C45" s="113" t="str">
        <x:v>CHI PHÍ MOTION CỦA RAV-26 — TẤT CẢ LÀ GIẢ ĐỊNH</x:v>
      </x:c>
      <x:c r="D45" s="124" t="str">
        <x:v>CHI PHÍ MOTION CỦA RAV-26 — TẤT CẢ LÀ GIẢ ĐỊNH</x:v>
      </x:c>
    </x:row>
    <x:row r="46" ht="48" customHeight="1">
      <x:c r="A46" s="94" t="str">
        <x:v>Founder hours / opportunity</x:v>
      </x:c>
      <x:c r="B46" s="117" t="n">
        <x:v>30</x:v>
      </x:c>
      <x:c r="C46" s="94"/>
      <x:c r="D46" s="121" t="str">
        <x:v>10 discovery + 12 presales/security + 8 follow-up; không tính vận hành pilot lại trong CAC.</x:v>
      </x:c>
    </x:row>
    <x:row r="47" ht="48" customHeight="1">
      <x:c r="A47" s="94" t="str">
        <x:v>Founder hourly cost USD</x:v>
      </x:c>
      <x:c r="B47" s="115" t="n">
        <x:v>25</x:v>
      </x:c>
      <x:c r="C47" s="94"/>
      <x:c r="D47" s="121" t="str">
        <x:v>Fully-loaded 20 công + 5 phân bổ; không coi công founder là miễn phí.</x:v>
      </x:c>
    </x:row>
    <x:row r="48" ht="48" customHeight="1">
      <x:c r="A48" s="94" t="str">
        <x:v>Travel/tool/pre-sale USD/opp</x:v>
      </x:c>
      <x:c r="B48" s="115" t="n">
        <x:v>250</x:v>
      </x:c>
      <x:c r="C48" s="94"/>
      <x:c r="D48" s="121" t="str">
        <x:v>Giả định 150 đi gặp + 100 tooling; chưa có hóa đơn.</x:v>
      </x:c>
    </x:row>
    <x:row r="49" ht="15.75" customHeight="1">
      <x:c r="A49" s="94" t="str">
        <x:v>CPO founder USD</x:v>
      </x:c>
      <x:c r="B49" s="143" t="n">
        <x:f>B46*B47+B48</x:f>
        <x:v>1000</x:v>
      </x:c>
      <x:c r="C49" s="94"/>
      <x:c r="D49" s="121"/>
    </x:row>
    <x:row r="50" ht="15.75" customHeight="1">
      <x:c r="A50" s="94" t="str">
        <x:v>CAC founder dự kiến</x:v>
      </x:c>
      <x:c r="B50" s="143" t="n">
        <x:f>B49/B21</x:f>
        <x:v>4000</x:v>
      </x:c>
      <x:c r="C50" s="94"/>
      <x:c r="D50" s="121"/>
    </x:row>
    <x:row r="51" ht="15.75" customHeight="1">
      <x:c r="A51" s="94" t="str">
        <x:v>CAC founder / budget lab</x:v>
      </x:c>
      <x:c r="B51" s="143" t="n">
        <x:f>B50/B9</x:f>
        <x:v>0.06366830254398782</x:v>
      </x:c>
      <x:c r="C51" s="94"/>
      <x:c r="D51" s="121"/>
    </x:row>
    <x:row r="52" ht="15.75" customHeight="1">
      <x:c r="A52" s="94" t="str">
        <x:v>Payback founder tháng</x:v>
      </x:c>
      <x:c r="B52" s="143" t="n">
        <x:f>B50/(B5*B6)</x:f>
        <x:v>1.5280392610557076</x:v>
      </x:c>
      <x:c r="C52" s="94"/>
      <x:c r="D52" s="121"/>
    </x:row>
    <x:row r="53" ht="48" customHeight="1">
      <x:c r="A53" s="94" t="str">
        <x:v>Payback target nội bộ (tháng)</x:v>
      </x:c>
      <x:c r="B53" s="116" t="n">
        <x:v>12</x:v>
      </x:c>
      <x:c r="C53" s="94"/>
      <x:c r="D53" s="121" t="str">
        <x:v>Thận trọng hơn trần Enterprise 24 tháng của mẫu; cần cash trước scale.</x:v>
      </x:c>
    </x:row>
    <x:row r="54" ht="15.75" customHeight="1">
      <x:c r="A54" s="94" t="str">
        <x:v>Budget CAC target nội bộ</x:v>
      </x:c>
      <x:c r="B54" s="143" t="n">
        <x:f>B5*B6*B53</x:f>
        <x:v>31412.805432</x:v>
      </x:c>
      <x:c r="C54" s="94"/>
      <x:c r="D54" s="121"/>
    </x:row>
    <x:row r="55" ht="48" customHeight="1">
      <x:c r="A55" s="94" t="str">
        <x:v>AE fully-loaded USD/tháng</x:v>
      </x:c>
      <x:c r="B55" s="115" t="n">
        <x:v>3000</x:v>
      </x:c>
      <x:c r="C55" s="94"/>
      <x:c r="D55" s="121" t="str">
        <x:v>Giả định Việt Nam: 2.000 fixed + 600 variable + 400 phụ phí; chưa tuyển.</x:v>
      </x:c>
    </x:row>
    <x:row r="56" ht="48" customHeight="1">
      <x:c r="A56" s="94" t="str">
        <x:v>Quota attainment</x:v>
      </x:c>
      <x:c r="B56" s="118" t="n">
        <x:v>0.75</x:v>
      </x:c>
      <x:c r="C56" s="94"/>
      <x:c r="D56" s="121" t="str">
        <x:v>Giả định 75%, không phải kết quả sales hiện tại.</x:v>
      </x:c>
    </x:row>
    <x:row r="57" ht="15.75" customHeight="1">
      <x:c r="A57" s="94" t="str">
        <x:v>Deals/year at attainment</x:v>
      </x:c>
      <x:c r="B57" s="143" t="n">
        <x:f>B13*B56/B10</x:f>
        <x:v>5.122950819672131</x:v>
      </x:c>
      <x:c r="C57" s="94"/>
      <x:c r="D57" s="121"/>
    </x:row>
    <x:row r="58" ht="15.75" customHeight="1">
      <x:c r="A58" s="94" t="str">
        <x:v>AE cost/account chưa lead cost</x:v>
      </x:c>
      <x:c r="B58" s="143" t="n">
        <x:f>B55*12/B57</x:f>
        <x:v>7027.2</x:v>
      </x:c>
      <x:c r="C58" s="94"/>
      <x:c r="D58" s="121"/>
    </x:row>
    <x:row r="59" ht="15.75" customHeight="1">
      <x:c r="A59" s="94" t="str">
        <x:v>LTV:CAC tối thiểu thời gian giữ khách</x:v>
      </x:c>
      <x:c r="B59" s="143" t="n">
        <x:f>3*B50/(B5*B6)</x:f>
        <x:v>4.584117783167122</x:v>
      </x:c>
      <x:c r="C59" s="94"/>
      <x:c r="D59" s="121"/>
    </x:row>
    <x:row r="60" ht="15.75" customHeight="1">
      <x:c r="A60" s="94" t="str">
        <x:v>Rep benchmark / target nội bộ</x:v>
      </x:c>
      <x:c r="B60" s="143" t="n">
        <x:f>B22/B54</x:f>
        <x:v>1.0186928407038052</x:v>
      </x:c>
      <x:c r="C60" s="94"/>
      <x:c r="D60" s="121"/>
    </x:row>
    <x:row r="61" ht="15.75" customHeight="1">
      <x:c r="A61" s="94"/>
      <x:c r="B61" s="94"/>
      <x:c r="C61" s="94"/>
      <x:c r="D61" s="121"/>
    </x:row>
    <x:row r="62" ht="50" customHeight="1">
      <x:c r="A62" s="54" t="str">
        <x:v>ICONIQ tr.22: 2026 CPO SMB 6.300; Mid-market/Enterprise 8.000; Strategic 11.200 USD. Chọn 8.000; win 25% là giả định RAV-26. Benchmark rep-driven không phải CAC đo của founder và không cộng chồng với AE-only cost B58.</x:v>
      </x:c>
      <x:c r="B62" s="54" t="str">
        <x:v>ICONIQ tr.22: 2026 CPO SMB 6.300; Mid-market/Enterprise 8.000; Strategic 11.200 USD. Chọn 8.000; win 25% là giả định RAV-26. Benchmark rep-driven không phải CAC đo của founder và không cộng chồng với AE-only cost B58.</x:v>
      </x:c>
      <x:c r="C62" s="54" t="str">
        <x:v>ICONIQ tr.22: 2026 CPO SMB 6.300; Mid-market/Enterprise 8.000; Strategic 11.200 USD. Chọn 8.000; win 25% là giả định RAV-26. Benchmark rep-driven không phải CAC đo của founder và không cộng chồng với AE-only cost B58.</x:v>
      </x:c>
      <x:c r="D62" s="54" t="str">
        <x:v>ICONIQ tr.22: 2026 CPO SMB 6.300; Mid-market/Enterprise 8.000; Strategic 11.200 USD. Chọn 8.000; win 25% là giả định RAV-26. Benchmark rep-driven không phải CAC đo của founder và không cộng chồng với AE-only cost B58.</x:v>
      </x:c>
    </x:row>
    <x:row r="63" ht="50" customHeight="1">
      <x:c r="A63" s="54" t="str">
        <x:v>Ngưỡng deal/ngày chỉ kiểm tra số học, không chứng minh buyer access hay sales cycle. ACV chỉ là annualized run-rate khi dùng đều, chưa có hợp đồng năm. Trần CAC payback không phải tiền mặt sẵn có. Chưa thể công bố LTV do thiếu churn/retention.</x:v>
      </x:c>
      <x:c r="B63" s="54" t="str">
        <x:v>Ngưỡng deal/ngày chỉ kiểm tra số học, không chứng minh buyer access hay sales cycle. ACV chỉ là annualized run-rate khi dùng đều, chưa có hợp đồng năm. Trần CAC payback không phải tiền mặt sẵn có. Chưa thể công bố LTV do thiếu churn/retention.</x:v>
      </x:c>
      <x:c r="C63" s="54" t="str">
        <x:v>Ngưỡng deal/ngày chỉ kiểm tra số học, không chứng minh buyer access hay sales cycle. ACV chỉ là annualized run-rate khi dùng đều, chưa có hợp đồng năm. Trần CAC payback không phải tiền mặt sẵn có. Chưa thể công bố LTV do thiếu churn/retention.</x:v>
      </x:c>
      <x:c r="D63" s="54" t="str">
        <x:v>Ngưỡng deal/ngày chỉ kiểm tra số học, không chứng minh buyer access hay sales cycle. ACV chỉ là annualized run-rate khi dùng đều, chưa có hợp đồng năm. Trần CAC payback không phải tiền mặt sẵn có. Chưa thể công bố LTV do thiếu churn/retention.</x:v>
      </x:c>
    </x:row>
    <x:row r="64" ht="50" customHeight="1">
      <x:c r="A64" s="54" t="str">
        <x:v>Scorecard là phán đoán có điều kiện: Sales-Led có budget và cần IT/procurement nhưng founder chưa xác nhận contact nên năng lực 2/5. PLG thấp do security/data approval; Partner thấp vì chưa có công ty/quan hệ đã nói chuyện. Chỉ chạy Sales-Led trong 90 ngày.</x:v>
      </x:c>
      <x:c r="B64" s="54" t="str">
        <x:v>Scorecard là phán đoán có điều kiện: Sales-Led có budget và cần IT/procurement nhưng founder chưa xác nhận contact nên năng lực 2/5. PLG thấp do security/data approval; Partner thấp vì chưa có công ty/quan hệ đã nói chuyện. Chỉ chạy Sales-Led trong 90 ngày.</x:v>
      </x:c>
      <x:c r="C64" s="54" t="str">
        <x:v>Scorecard là phán đoán có điều kiện: Sales-Led có budget và cần IT/procurement nhưng founder chưa xác nhận contact nên năng lực 2/5. PLG thấp do security/data approval; Partner thấp vì chưa có công ty/quan hệ đã nói chuyện. Chỉ chạy Sales-Led trong 90 ngày.</x:v>
      </x:c>
      <x:c r="D64" s="54" t="str">
        <x:v>Scorecard là phán đoán có điều kiện: Sales-Led có budget và cần IT/procurement nhưng founder chưa xác nhận contact nên năng lực 2/5. PLG thấp do security/data approval; Partner thấp vì chưa có công ty/quan hệ đã nói chuyện. Chỉ chạy Sales-Led trong 90 ngày.</x:v>
      </x:c>
    </x:row>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45:D45"/>
    <x:mergeCell ref="A62:D62"/>
    <x:mergeCell ref="A63:D63"/>
    <x:mergeCell ref="A64:D64"/>
    <x:mergeCell ref="B39:C39"/>
    <x:mergeCell ref="B41:D41"/>
  </x:mergeCells>
  <x:dataValidations count="1">
    <x:dataValidation type="list" allowBlank="1" sqref="B7">
      <x:formula1>"SMB,Mid,Enterprise"</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pane ySplit="2" topLeftCell="A3" activePane="bottomLeft" state="frozen"/>
    </x:sheetView>
  </x:sheetViews>
  <x:sheetFormatPr defaultColWidth="14.430000305175781" defaultRowHeight="15"/>
  <x:cols>
    <x:col min="1" max="1" width="64" hidden="0" customWidth="1"/>
    <x:col min="2" max="4" width="34" customWidth="1"/>
    <x:col min="5" max="8" width="15" customWidth="1"/>
    <x:col min="9" max="26" width="8.710000038146973" customWidth="1"/>
    <x:col min="2" max="2" width="42" hidden="0" customWidth="1"/>
    <x:col min="3" max="3" width="42" hidden="0" customWidth="1"/>
    <x:col min="4" max="4" width="42" hidden="0" customWidth="1"/>
  </x:cols>
  <x:sheetData>
    <x:row r="1" ht="24" customHeight="1">
      <x:c r="A1" s="91" t="s">
        <x:v>256</x:v>
      </x:c>
      <x:c r="B1" s="92"/>
      <x:c r="C1" s="92"/>
      <x:c r="D1" s="92"/>
      <x:c r="E1" s="2"/>
      <x:c r="F1" s="2"/>
      <x:c r="G1" s="2"/>
      <x:c r="H1" s="2"/>
    </x:row>
    <x:row r="2">
      <x:c r="A2" s="93" t="s">
        <x:v>257</x:v>
      </x:c>
      <x:c r="B2" s="94"/>
      <x:c r="C2" s="94"/>
      <x:c r="D2" s="94"/>
    </x:row>
    <x:row r="3">
      <x:c r="A3" s="94"/>
      <x:c r="B3" s="94"/>
      <x:c r="C3" s="94"/>
      <x:c r="D3" s="121"/>
    </x:row>
    <x:row r="4">
      <x:c r="A4" s="95" t="s">
        <x:v>258</x:v>
      </x:c>
      <x:c r="B4" s="96"/>
      <x:c r="C4" s="96"/>
      <x:c r="D4" s="122"/>
      <x:c r="E4" s="10"/>
      <x:c r="F4" s="10"/>
      <x:c r="G4" s="10"/>
      <x:c r="H4" s="10"/>
    </x:row>
    <x:row r="5" ht="52" customHeight="1">
      <x:c r="A5" s="97" t="s">
        <x:v>259</x:v>
      </x:c>
      <x:c r="B5" s="154" t="str">
        <x:v>16:30 thứ Sáu trước khi khóa batch gán nhãn (giả thuyết cần interview).</x:v>
      </x:c>
      <x:c r="C5" s="121"/>
      <x:c r="D5" s="121"/>
    </x:row>
    <x:row r="6" ht="52" customHeight="1">
      <x:c r="A6" s="97" t="s">
        <x:v>260</x:v>
      </x:c>
      <x:c r="B6" s="154" t="str">
        <x:v>Curator rà frame cảnh hiếm/thiếu sáng và lập shortlist; Reviewer chờ duyệt manifest để chuyển vendor gán nhãn.</x:v>
      </x:c>
      <x:c r="C6" s="121"/>
      <x:c r="D6" s="121"/>
    </x:row>
    <x:row r="7" ht="52" customHeight="1">
      <x:c r="A7" s="97" t="s">
        <x:v>261</x:v>
      </x:c>
      <x:c r="B7" s="154" t="str">
        <x:v>CVAT và kho object storage nội bộ (giả thuyết workflow, chưa được khách xác nhận).</x:v>
      </x:c>
      <x:c r="C7" s="121"/>
      <x:c r="D7" s="121"/>
    </x:row>
    <x:row r="8" ht="52" customHeight="1">
      <x:c r="A8" s="97" t="s">
        <x:v>262</x:v>
      </x:c>
      <x:c r="B8" s="154" t="str">
        <x:v>Nút Import shortlist trong CVAT qua manifest JSON + object URI; webhook job/status. Chưa có connector được xác nhận đã triển khai.</x:v>
      </x:c>
      <x:c r="C8" s="121"/>
      <x:c r="D8" s="123" t="s">
        <x:v>263</x:v>
      </x:c>
    </x:row>
    <x:row r="9">
      <x:c r="A9" s="94"/>
      <x:c r="B9" s="94"/>
      <x:c r="C9" s="94"/>
      <x:c r="D9" s="121"/>
    </x:row>
    <x:row r="10">
      <x:c r="A10" s="95" t="s">
        <x:v>264</x:v>
      </x:c>
      <x:c r="B10" s="96"/>
      <x:c r="C10" s="96"/>
      <x:c r="D10" s="122"/>
      <x:c r="E10" s="10"/>
      <x:c r="F10" s="10"/>
      <x:c r="G10" s="10"/>
      <x:c r="H10" s="10"/>
    </x:row>
    <x:row r="11">
      <x:c r="A11" s="141"/>
      <x:c r="B11" s="141" t="s">
        <x:v>265</x:v>
      </x:c>
      <x:c r="C11" s="141" t="s">
        <x:v>266</x:v>
      </x:c>
      <x:c r="D11" s="146" t="s">
        <x:v>267</x:v>
      </x:c>
    </x:row>
    <x:row r="12" ht="88" customHeight="1">
      <x:c r="A12" s="97" t="s">
        <x:v>268</x:v>
      </x:c>
      <x:c r="B12" s="154" t="str">
        <x:v>Sales-Led do founder</x:v>
      </x:c>
      <x:c r="C12" s="154" t="str">
        <x:v>Sales-Led do founder</x:v>
      </x:c>
      <x:c r="D12" s="154" t="str">
        <x:v>Sales-Led — chỉ sau go/no-go</x:v>
      </x:c>
    </x:row>
    <x:row r="13" ht="88" customHeight="1">
      <x:c r="A13" s="97" t="s">
        <x:v>269</x:v>
      </x:c>
      <x:c r="B13" s="154" t="str">
        <x:v>5 phỏng vấn; 1 design partner mục tiêu, chưa xác nhận.</x:v>
      </x:c>
      <x:c r="C13" s="154" t="str">
        <x:v>2 pilot mục tiêu; 1 khách trả tiền trước ngày 90.</x:v>
      </x:c>
      <x:c r="D13" s="154" t="str">
        <x:v>3 khách cùng ngách; chỉ sau 1 renewal và pilot đạt ngưỡng.</x:v>
      </x:c>
    </x:row>
    <x:row r="14" ht="88" customHeight="1">
      <x:c r="A14" s="97" t="s">
        <x:v>270</x:v>
      </x:c>
      <x:c r="B14" s="154" t="str">
        <x:v>09/10–07/11/2026: Khánh gặp 5 data lead; xin baseline time-study.</x:v>
      </x:c>
      <x:c r="C14" s="154" t="str">
        <x:v>08/11/2026–06/01/2027: pilot 4 tuần trên dữ liệu cho phép.</x:v>
      </x:c>
      <x:c r="D14" s="154" t="str">
        <x:v>Từ 07/01/2027: tiếp tục ngách camera 2D cảnh đêm/mưa.</x:v>
      </x:c>
    </x:row>
    <x:row r="15" ht="88" customHeight="1">
      <x:c r="A15" s="97" t="s">
        <x:v>271</x:v>
      </x:c>
      <x:c r="B15" s="154" t="str">
        <x:v>Chốt job/billing, quyền dữ liệu, acceptance và cap; xác nhận CVAT.</x:v>
      </x:c>
      <x:c r="C15" s="154" t="str">
        <x:v>Chạy 20 batch thử, 1.000 frame/batch; log cost và reason fail.</x:v>
      </x:c>
      <x:c r="D15" s="154" t="str">
        <x:v>Chỉ mở OEM thứ hai khi 1 renewal, GM ≥60% và PII gate đạt.</x:v>
      </x:c>
    </x:row>
    <x:row r="16" ht="88" customHeight="1">
      <x:c r="A16" s="97" t="s">
        <x:v>272</x:v>
      </x:c>
      <x:c r="B16" s="154" t="str">
        <x:v>Test PII và export; lập DPA/data-flow draft; không tuyên bố mAP.</x:v>
      </x:c>
      <x:c r="C16" s="154" t="str">
        <x:v>So matched random sampling bằng cùng annotation budget/seed/test split.</x:v>
      </x:c>
      <x:c r="D16" s="154" t="str">
        <x:v>LiDAR/đa camera là phạm vi mới, phải benchmark và báo giá riêng.</x:v>
      </x:c>
    </x:row>
    <x:row r="17" ht="88" customHeight="1">
      <x:c r="A17" s="97" t="s">
        <x:v>273</x:v>
      </x:c>
      <x:c r="B17" s="154" t="str">
        <x:v>5 interview; 1 acceptance draft; eval 500 frame; chưa coi là khách.</x:v>
      </x:c>
      <x:c r="C17" s="154" t="str">
        <x:v>Completion mục tiêu ≥90%; critical PII=0 trên bộ 500; review ≤5h/job; GM ≥60%.</x:v>
      </x:c>
      <x:c r="D17" s="154" t="str">
        <x:v>3 khách mục tiêu; 1 renewal; CAC founder ≤4.000 USD; chưa đo thực tế.</x:v>
      </x:c>
    </x:row>
    <x:row r="18" ht="88" customHeight="1">
      <x:c r="A18" s="97" t="s">
        <x:v>274</x:v>
      </x:c>
      <x:c r="B18" s="154" t="str">
        <x:v>Phùng Gia Khánh (owner); QA/IT khách chỉ định khi ký pilot.</x:v>
      </x:c>
      <x:c r="C18" s="154" t="str">
        <x:v>Phùng Gia Khánh + Reviewer khách (chưa chỉ định).</x:v>
      </x:c>
      <x:c r="D18" s="154" t="str">
        <x:v>Phùng Gia Khánh; chỉ phân công thêm khi có capacity.</x:v>
      </x:c>
    </x:row>
    <x:row r="19">
      <x:c r="A19" s="93" t="s">
        <x:v>275</x:v>
      </x:c>
      <x:c r="B19" s="121"/>
      <x:c r="C19" s="121"/>
      <x:c r="D19" s="121"/>
    </x:row>
    <x:row r="20">
      <x:c r="A20" s="94"/>
      <x:c r="B20" s="121"/>
      <x:c r="C20" s="121"/>
      <x:c r="D20" s="121"/>
    </x:row>
    <x:row r="21" ht="15.75" customHeight="1">
      <x:c r="A21" s="95" t="s">
        <x:v>276</x:v>
      </x:c>
      <x:c r="B21" s="122"/>
      <x:c r="C21" s="122"/>
      <x:c r="D21" s="122"/>
      <x:c r="E21" s="10"/>
      <x:c r="F21" s="10"/>
      <x:c r="G21" s="10"/>
      <x:c r="H21" s="10"/>
    </x:row>
    <x:row r="22" ht="15.75" customHeight="1">
      <x:c r="A22" s="141" t="s">
        <x:v>277</x:v>
      </x:c>
      <x:c r="B22" s="146" t="s">
        <x:v>278</x:v>
      </x:c>
      <x:c r="C22" s="146" t="s">
        <x:v>279</x:v>
      </x:c>
      <x:c r="D22" s="146" t="s">
        <x:v>280</x:v>
      </x:c>
    </x:row>
    <x:row r="23" ht="130" customHeight="1">
      <x:c r="A23" s="97" t="s">
        <x:v>281</x:v>
      </x:c>
      <x:c r="B23" s="154" t="str">
        <x:v>Chưa</x:v>
      </x:c>
      <x:c r="C23" s="154" t="str">
        <x:v>Có QA chức năng theo người dùng: 192 định nghĩa test + browser flows pass. Chưa có eval PII/selection/containment/mAP.</x:v>
      </x:c>
      <x:c r="D23" s="154" t="str">
        <x:v>Khánh · 23/10/2026: report 500 frame + 20 batch regression, commit/hash và CI logs.</x:v>
      </x:c>
    </x:row>
    <x:row r="24" ht="130" customHeight="1">
      <x:c r="A24" s="97" t="s">
        <x:v>282</x:v>
      </x:c>
      <x:c r="B24" s="154" t="str">
        <x:v>Chưa</x:v>
      </x:c>
      <x:c r="C24" s="154" t="str">
        <x:v>Draft Q&amp;A: sai/PII → gate review; data train → cần DPA/config; exit → export manifest và delete proof.</x:v>
      </x:c>
      <x:c r="D24" s="154" t="str">
        <x:v>Khánh · 30/10/2026: data-flow, subprocessor list, retention/export rehearsal; IT khách review.</x:v>
      </x:c>
    </x:row>
    <x:row r="25" ht="130" customHeight="1">
      <x:c r="A25" s="97" t="s">
        <x:v>283</x:v>
      </x:c>
      <x:c r="B25" s="154" t="str">
        <x:v>Chưa</x:v>
      </x:c>
      <x:c r="C25" s="154" t="str">
        <x:v>1 design partner ADAS chưa xác nhận; dự kiến 08/11–05/12/2026, 4 tuần, 20 batch/20.000 frame.</x:v>
      </x:c>
      <x:c r="D25" s="154" t="str">
        <x:v>Khánh · 10/12/2026: report completion/cost/time-saving + mAP A/B nếu đủ nhãn; chưa có kết quả.</x:v>
      </x:c>
    </x:row>
    <x:row r="26" ht="15.75" customHeight="1">
      <x:c r="A26" s="93" t="s">
        <x:v>284</x:v>
      </x:c>
      <x:c r="B26" s="94"/>
      <x:c r="C26" s="94"/>
      <x:c r="D26" s="121"/>
    </x:row>
    <x:row r="27" ht="15.75" customHeight="1">
      <x:c r="A27" s="94"/>
      <x:c r="B27" s="94"/>
      <x:c r="C27" s="94"/>
      <x:c r="D27" s="121"/>
    </x:row>
    <x:row r="28" ht="15.75" customHeight="1">
      <x:c r="A28" s="95" t="s">
        <x:v>285</x:v>
      </x:c>
      <x:c r="B28" s="96"/>
      <x:c r="C28" s="96"/>
      <x:c r="D28" s="122"/>
      <x:c r="E28" s="10"/>
      <x:c r="F28" s="10"/>
      <x:c r="G28" s="10"/>
      <x:c r="H28" s="10"/>
    </x:row>
    <x:row r="29" ht="52" customHeight="1">
      <x:c r="A29" s="97" t="s">
        <x:v>286</x:v>
      </x:c>
      <x:c r="B29" s="154" t="str">
        <x:v>Tự kiểm: Được. Người lạ thật: chưa kiểm tra.</x:v>
      </x:c>
      <x:c r="C29" s="121"/>
      <x:c r="D29" s="121"/>
    </x:row>
    <x:row r="30" ht="52" customHeight="1">
      <x:c r="A30" s="97" t="s">
        <x:v>287</x:v>
      </x:c>
      <x:c r="B30" s="154" t="str">
        <x:v>Tự kiểm: Được, dưới các giả định ghi rõ. Người lạ thật: chưa kiểm tra.</x:v>
      </x:c>
      <x:c r="C30" s="121"/>
      <x:c r="D30" s="121"/>
    </x:row>
    <x:row r="31" ht="52" customHeight="1">
      <x:c r="A31" s="97" t="s">
        <x:v>288</x:v>
      </x:c>
      <x:c r="B31" s="154" t="str">
        <x:v>Tự kiểm: Được. Người lạ thật: chưa kiểm tra.</x:v>
      </x:c>
      <x:c r="C31" s="121"/>
      <x:c r="D31" s="121"/>
    </x:row>
    <x:row r="32" ht="52" customHeight="1">
      <x:c r="A32" s="97" t="s">
        <x:v>289</x:v>
      </x:c>
      <x:c r="B32" s="154" t="str">
        <x:v>Chưa đo; không ghi 0. Khánh mời người ngoài dự án đọc và ghi số câu trước 15/10/2026.</x:v>
      </x:c>
      <x:c r="C32" s="121"/>
      <x:c r="D32" s="121"/>
    </x:row>
    <x:row r="33" ht="15.75" customHeight="1">
      <x:c r="A33" s="94"/>
      <x:c r="B33" s="94"/>
      <x:c r="C33" s="94"/>
      <x:c r="D33" s="121"/>
    </x:row>
    <x:row r="34" ht="15.75" customHeight="1">
      <x:c r="A34" s="94"/>
      <x:c r="B34" s="94"/>
      <x:c r="C34" s="94"/>
      <x:c r="D34" s="121"/>
    </x:row>
    <x:row r="35" ht="25" customHeight="1">
      <x:c r="A35" s="113" t="str">
        <x:v>THÔNG TIN CẦN TRUY XUẤT CHO ONE-PAGER</x:v>
      </x:c>
      <x:c r="B35" s="113" t="str">
        <x:v>THÔNG TIN CẦN TRUY XUẤT CHO ONE-PAGER</x:v>
      </x:c>
      <x:c r="C35" s="113" t="str">
        <x:v>THÔNG TIN CẦN TRUY XUẤT CHO ONE-PAGER</x:v>
      </x:c>
      <x:c r="D35" s="124" t="str">
        <x:v>THÔNG TIN CẦN TRUY XUẤT CHO ONE-PAGER</x:v>
      </x:c>
    </x:row>
    <x:row r="36" ht="15.75" customHeight="1">
      <x:c r="A36" s="94" t="str">
        <x:v>Chủ bài / product</x:v>
      </x:c>
      <x:c r="B36" s="153" t="str">
        <x:v>Phùng Gia Khánh · RAV-26 / P-026</x:v>
      </x:c>
      <x:c r="C36" s="94"/>
      <x:c r="D36" s="121" t="str">
        <x:v>Mã học viên 2A202602585; không có tên khách hàng paying.</x:v>
      </x:c>
    </x:row>
    <x:row r="37" ht="15.75" customHeight="1">
      <x:c r="A37" s="94" t="str">
        <x:v>Số định nghĩa test (theo người dùng)</x:v>
      </x:c>
      <x:c r="B37" s="116" t="n">
        <x:v>192</x:v>
      </x:c>
      <x:c r="C37" s="94"/>
      <x:c r="D37" s="121" t="str">
        <x:v>Nguồn: người dùng 08/10/2026; chưa phải 192 tests chạy pass; chưa kiểm chứng CI.</x:v>
      </x:c>
    </x:row>
    <x:row r="38" ht="15.75" customHeight="1">
      <x:c r="A38" s="94" t="str">
        <x:v>Eval frame mục tiêu</x:v>
      </x:c>
      <x:c r="B38" s="116" t="n">
        <x:v>500</x:v>
      </x:c>
      <x:c r="C38" s="94"/>
      <x:c r="D38" s="121" t="str">
        <x:v>50 mỗi slice: đêm/mưa/ngược sáng/blur/v.v.; benchmark mô tả trong evidence pack.</x:v>
      </x:c>
    </x:row>
    <x:row r="39" ht="15.75" customHeight="1">
      <x:c r="A39" s="94" t="str">
        <x:v>Pilot weeks mục tiêu</x:v>
      </x:c>
      <x:c r="B39" s="116" t="n">
        <x:v>4</x:v>
      </x:c>
      <x:c r="C39" s="94"/>
      <x:c r="D39" s="121" t="str">
        <x:v>08/11–05/12/2026; design partner chưa xác nhận.</x:v>
      </x:c>
    </x:row>
    <x:row r="40" ht="15.75" customHeight="1">
      <x:c r="A40" s="94" t="str">
        <x:v>Pilot batch thử mục tiêu</x:v>
      </x:c>
      <x:c r="B40" s="116" t="n">
        <x:v>20</x:v>
      </x:c>
      <x:c r="C40" s="94"/>
      <x:c r="D40" s="121" t="str">
        <x:v>1.000 frame/batch; 20.000 frame toàn pilot.</x:v>
      </x:c>
    </x:row>
    <x:row r="41" ht="15.75" customHeight="1">
      <x:c r="A41" s="94" t="str">
        <x:v>PII critical leaks mục tiêu</x:v>
      </x:c>
      <x:c r="B41" s="116" t="n">
        <x:v>0</x:v>
      </x:c>
      <x:c r="C41" s="94"/>
      <x:c r="D41" s="121" t="str">
        <x:v>Chỉ là acceptance target; chưa có kết quả đo và không suy ra rủi ro bằng 0.</x:v>
      </x:c>
    </x:row>
    <x:row r="42" ht="15.75" customHeight="1">
      <x:c r="A42" s="94" t="str">
        <x:v>Ngày eval due</x:v>
      </x:c>
      <x:c r="B42" s="166" t="d">
        <x:v>2026-10-23T00:00:00.000Z</x:v>
      </x:c>
      <x:c r="C42" s="94"/>
      <x:c r="D42" s="121" t="str">
        <x:v>Phùng Gia Khánh chịu trách nhiệm.</x:v>
      </x:c>
    </x:row>
    <x:row r="43" ht="15.75" customHeight="1">
      <x:c r="A43" s="94" t="str">
        <x:v>Ngày procurement due</x:v>
      </x:c>
      <x:c r="B43" s="166" t="d">
        <x:v>2026-10-30T00:00:00.000Z</x:v>
      </x:c>
      <x:c r="C43" s="94"/>
      <x:c r="D43" s="121" t="str">
        <x:v>Draft chưa phải DPA/certification đã ký.</x:v>
      </x:c>
    </x:row>
    <x:row r="44" ht="15.75" customHeight="1">
      <x:c r="A44" s="94" t="str">
        <x:v>Ngày pilot report due</x:v>
      </x:c>
      <x:c r="B44" s="166" t="d">
        <x:v>2026-12-10T00:00:00.000Z</x:v>
      </x:c>
      <x:c r="C44" s="94"/>
      <x:c r="D44" s="121" t="str">
        <x:v>Không bịa pilot với VinFast.</x:v>
      </x:c>
    </x:row>
    <x:row r="45" ht="15.75" customHeight="1">
      <x:c r="A45" s="94" t="str">
        <x:v>Ngày stranger test due</x:v>
      </x:c>
      <x:c r="B45" s="166" t="d">
        <x:v>2026-10-15T00:00:00.000Z</x:v>
      </x:c>
      <x:c r="C45" s="94"/>
      <x:c r="D45" s="121" t="str">
        <x:v>Cần người ngoài đọc thật; kiểm tra AI không thay bước này.</x:v>
      </x:c>
    </x:row>
    <x:row r="46" ht="15.75" customHeight="1">
      <x:c r="A46" s="94" t="str">
        <x:v>Ngày bắt đầu plan</x:v>
      </x:c>
      <x:c r="B46" s="166" t="d">
        <x:v>2026-10-09T00:00:00.000Z</x:v>
      </x:c>
      <x:c r="C46" s="94"/>
      <x:c r="D46" s="121" t="str">
        <x:v>Day 1.</x:v>
      </x:c>
    </x:row>
    <x:row r="47" ht="15.75" customHeight="1">
      <x:c r="A47" s="94" t="str">
        <x:v>Ngày kết thúc 90 ngày</x:v>
      </x:c>
      <x:c r="B47" s="166" t="d">
        <x:v>2027-01-06T00:00:00.000Z</x:v>
      </x:c>
      <x:c r="C47" s="94"/>
      <x:c r="D47" s="121" t="str">
        <x:v>Day 90, tính cả ngày bắt đầu.</x:v>
      </x:c>
    </x:row>
    <x:row r="48" ht="15.75" customHeight="1">
      <x:c r="A48" s="94"/>
      <x:c r="B48" s="94"/>
      <x:c r="C48" s="94"/>
      <x:c r="D48" s="121"/>
    </x:row>
    <x:row r="49" ht="50" customHeight="1">
      <x:c r="A49" s="54" t="str">
        <x:v>Ngách đầu: curated batch camera 2D cho cảnh đêm/mưa ADAS; VinFast là target account được đề xuất, chưa có contact/pilot/LOI. Không chạy Partner-Led hoặc PLG song song. Không gửi outreach trong bài này.</x:v>
      </x:c>
      <x:c r="B49" s="54" t="str">
        <x:v>Ngách đầu: curated batch camera 2D cho cảnh đêm/mưa ADAS; VinFast là target account được đề xuất, chưa có contact/pilot/LOI. Không chạy Partner-Led hoặc PLG song song. Không gửi outreach trong bài này.</x:v>
      </x:c>
      <x:c r="C49" s="54" t="str">
        <x:v>Ngách đầu: curated batch camera 2D cho cảnh đêm/mưa ADAS; VinFast là target account được đề xuất, chưa có contact/pilot/LOI. Không chạy Partner-Led hoặc PLG song song. Không gửi outreach trong bài này.</x:v>
      </x:c>
      <x:c r="D49" s="54" t="str">
        <x:v>Ngách đầu: curated batch camera 2D cho cảnh đêm/mưa ADAS; VinFast là target account được đề xuất, chưa có contact/pilot/LOI. Không chạy Partner-Led hoặc PLG song song. Không gửi outreach trong bài này.</x:v>
      </x:c>
    </x:row>
    <x:row r="50" ht="50" customHeight="1">
      <x:c r="A50" s="54" t="str">
        <x:v>Evals → attribution: regression chức năng bảo vệ workflow; PII/selection eval đo quality; matched random-sampling pilot đo causal downstream mAP. Chỉ khi đủ attribution mới xem xét outcome pricing; hiện giữ Hybrid usage.</x:v>
      </x:c>
      <x:c r="B50" s="54" t="str">
        <x:v>Evals → attribution: regression chức năng bảo vệ workflow; PII/selection eval đo quality; matched random-sampling pilot đo causal downstream mAP. Chỉ khi đủ attribution mới xem xét outcome pricing; hiện giữ Hybrid usage.</x:v>
      </x:c>
      <x:c r="C50" s="54" t="str">
        <x:v>Evals → attribution: regression chức năng bảo vệ workflow; PII/selection eval đo quality; matched random-sampling pilot đo causal downstream mAP. Chỉ khi đủ attribution mới xem xét outcome pricing; hiện giữ Hybrid usage.</x:v>
      </x:c>
      <x:c r="D50" s="54" t="str">
        <x:v>Evals → attribution: regression chức năng bảo vệ workflow; PII/selection eval đo quality; matched random-sampling pilot đo causal downstream mAP. Chỉ khi đủ attribution mới xem xét outcome pricing; hiện giữ Hybrid usage.</x:v>
      </x:c>
    </x:row>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35:D35"/>
    <x:mergeCell ref="A49:D49"/>
    <x:mergeCell ref="A50:D50"/>
    <x:mergeCell ref="B5:D5"/>
    <x:mergeCell ref="B6:D6"/>
    <x:mergeCell ref="B7:D7"/>
    <x:mergeCell ref="B8:C8"/>
    <x:mergeCell ref="B29:D29"/>
    <x:mergeCell ref="B30:D30"/>
    <x:mergeCell ref="B31:D31"/>
    <x:mergeCell ref="B32:D32"/>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2" topLeftCell="A3" activePane="bottomLeft" state="frozen"/>
    </x:sheetView>
  </x:sheetViews>
  <x:sheetFormatPr defaultColWidth="14.430000305175781" defaultRowHeight="15"/>
  <x:cols>
    <x:col min="1" max="1" width="64" hidden="0" customWidth="1"/>
    <x:col min="2" max="2" width="27" hidden="0" customWidth="1"/>
    <x:col min="3" max="3" width="15" hidden="0" customWidth="1"/>
    <x:col min="4" max="4" width="67" hidden="0" customWidth="1"/>
    <x:col min="5" max="5" width="56" customWidth="1"/>
    <x:col min="6" max="8" width="15" customWidth="1"/>
    <x:col min="9" max="26" width="8.710000038146973" customWidth="1"/>
  </x:cols>
  <x:sheetData>
    <x:row r="1" ht="24" customHeight="1">
      <x:c r="A1" s="91" t="s">
        <x:v>290</x:v>
      </x:c>
      <x:c r="B1" s="92"/>
      <x:c r="C1" s="92"/>
      <x:c r="D1" s="92"/>
      <x:c r="E1" s="2"/>
      <x:c r="F1" s="2"/>
      <x:c r="G1" s="2"/>
      <x:c r="H1" s="2"/>
    </x:row>
    <x:row r="2">
      <x:c r="A2" s="93" t="s">
        <x:v>291</x:v>
      </x:c>
      <x:c r="B2" s="94"/>
      <x:c r="C2" s="94"/>
      <x:c r="D2" s="94"/>
    </x:row>
    <x:row r="3">
      <x:c r="A3" s="97" t="s">
        <x:v>292</x:v>
      </x:c>
      <x:c r="B3" s="172" t="d">
        <x:v>2026-10-08T00:00:00.000Z</x:v>
      </x:c>
      <x:c r="C3" s="94"/>
      <x:c r="D3" s="123" t="s">
        <x:v>293</x:v>
      </x:c>
    </x:row>
    <x:row r="4">
      <x:c r="A4" s="94"/>
      <x:c r="B4" s="94"/>
      <x:c r="C4" s="94"/>
      <x:c r="D4" s="121"/>
    </x:row>
    <x:row r="5">
      <x:c r="A5" s="173" t="s">
        <x:v>294</x:v>
      </x:c>
      <x:c r="B5" s="173" t="s">
        <x:v>295</x:v>
      </x:c>
      <x:c r="C5" s="173" t="s">
        <x:v>296</x:v>
      </x:c>
      <x:c r="D5" s="178" t="s">
        <x:v>297</x:v>
      </x:c>
      <x:c r="E5" s="42" t="s">
        <x:v>298</x:v>
      </x:c>
    </x:row>
    <x:row r="6">
      <x:c r="A6" s="174" t="s">
        <x:v>122</x:v>
      </x:c>
      <x:c r="B6" s="174" t="s">
        <x:v>299</x:v>
      </x:c>
      <x:c r="C6" s="174" t="s">
        <x:v>300</x:v>
      </x:c>
      <x:c r="D6" s="179" t="s">
        <x:v>301</x:v>
      </x:c>
      <x:c r="E6" s="44" t="s">
        <x:v>302</x:v>
      </x:c>
    </x:row>
    <x:row r="7">
      <x:c r="A7" s="174" t="s">
        <x:v>122</x:v>
      </x:c>
      <x:c r="B7" s="174" t="s">
        <x:v>303</x:v>
      </x:c>
      <x:c r="C7" s="174" t="s">
        <x:v>304</x:v>
      </x:c>
      <x:c r="D7" s="179" t="s">
        <x:v>301</x:v>
      </x:c>
      <x:c r="E7" s="44" t="s">
        <x:v>302</x:v>
      </x:c>
    </x:row>
    <x:row r="8">
      <x:c r="A8" s="174" t="s">
        <x:v>122</x:v>
      </x:c>
      <x:c r="B8" s="174" t="s">
        <x:v>305</x:v>
      </x:c>
      <x:c r="C8" s="174" t="s">
        <x:v>306</x:v>
      </x:c>
      <x:c r="D8" s="179" t="s">
        <x:v>301</x:v>
      </x:c>
      <x:c r="E8" s="44" t="s">
        <x:v>302</x:v>
      </x:c>
    </x:row>
    <x:row r="9">
      <x:c r="A9" s="174" t="s">
        <x:v>122</x:v>
      </x:c>
      <x:c r="B9" s="174" t="s">
        <x:v>307</x:v>
      </x:c>
      <x:c r="C9" s="174" t="s">
        <x:v>308</x:v>
      </x:c>
      <x:c r="D9" s="179" t="s">
        <x:v>309</x:v>
      </x:c>
      <x:c r="E9" s="44" t="s">
        <x:v>302</x:v>
      </x:c>
    </x:row>
    <x:row r="10">
      <x:c r="A10" s="174" t="s">
        <x:v>122</x:v>
      </x:c>
      <x:c r="B10" s="174" t="s">
        <x:v>310</x:v>
      </x:c>
      <x:c r="C10" s="174" t="s">
        <x:v>311</x:v>
      </x:c>
      <x:c r="D10" s="179" t="s">
        <x:v>301</x:v>
      </x:c>
      <x:c r="E10" s="44" t="s">
        <x:v>312</x:v>
      </x:c>
    </x:row>
    <x:row r="11">
      <x:c r="A11" s="174" t="s">
        <x:v>122</x:v>
      </x:c>
      <x:c r="B11" s="174" t="s">
        <x:v>313</x:v>
      </x:c>
      <x:c r="C11" s="174" t="s">
        <x:v>314</x:v>
      </x:c>
      <x:c r="D11" s="179" t="s">
        <x:v>301</x:v>
      </x:c>
      <x:c r="E11" s="44" t="s">
        <x:v>315</x:v>
      </x:c>
    </x:row>
    <x:row r="12">
      <x:c r="A12" s="174" t="s">
        <x:v>122</x:v>
      </x:c>
      <x:c r="B12" s="174" t="s">
        <x:v>316</x:v>
      </x:c>
      <x:c r="C12" s="174" t="s">
        <x:v>317</x:v>
      </x:c>
      <x:c r="D12" s="179" t="s">
        <x:v>309</x:v>
      </x:c>
      <x:c r="E12" s="44" t="s">
        <x:v>315</x:v>
      </x:c>
    </x:row>
    <x:row r="13">
      <x:c r="A13" s="174" t="s">
        <x:v>122</x:v>
      </x:c>
      <x:c r="B13" s="174" t="s">
        <x:v>318</x:v>
      </x:c>
      <x:c r="C13" s="174" t="s">
        <x:v>319</x:v>
      </x:c>
      <x:c r="D13" s="179" t="s">
        <x:v>301</x:v>
      </x:c>
      <x:c r="E13" s="44" t="s">
        <x:v>320</x:v>
      </x:c>
    </x:row>
    <x:row r="14">
      <x:c r="A14" s="174" t="s">
        <x:v>122</x:v>
      </x:c>
      <x:c r="B14" s="174" t="s">
        <x:v>321</x:v>
      </x:c>
      <x:c r="C14" s="174" t="s">
        <x:v>322</x:v>
      </x:c>
      <x:c r="D14" s="179" t="s">
        <x:v>301</x:v>
      </x:c>
      <x:c r="E14" s="44" t="s">
        <x:v>323</x:v>
      </x:c>
    </x:row>
    <x:row r="15">
      <x:c r="A15" s="174" t="s">
        <x:v>324</x:v>
      </x:c>
      <x:c r="B15" s="174" t="s">
        <x:v>325</x:v>
      </x:c>
      <x:c r="C15" s="174" t="s">
        <x:v>326</x:v>
      </x:c>
      <x:c r="D15" s="179" t="s">
        <x:v>327</x:v>
      </x:c>
      <x:c r="E15" s="44" t="s">
        <x:v>328</x:v>
      </x:c>
    </x:row>
    <x:row r="16">
      <x:c r="A16" s="174" t="s">
        <x:v>324</x:v>
      </x:c>
      <x:c r="B16" s="174" t="s">
        <x:v>329</x:v>
      </x:c>
      <x:c r="C16" s="174" t="s">
        <x:v>330</x:v>
      </x:c>
      <x:c r="D16" s="179" t="s">
        <x:v>327</x:v>
      </x:c>
      <x:c r="E16" s="44" t="s">
        <x:v>331</x:v>
      </x:c>
    </x:row>
    <x:row r="17">
      <x:c r="A17" s="174" t="s">
        <x:v>324</x:v>
      </x:c>
      <x:c r="B17" s="174" t="s">
        <x:v>332</x:v>
      </x:c>
      <x:c r="C17" s="174" t="s">
        <x:v>333</x:v>
      </x:c>
      <x:c r="D17" s="179" t="s">
        <x:v>327</x:v>
      </x:c>
      <x:c r="E17" s="44" t="s">
        <x:v>334</x:v>
      </x:c>
    </x:row>
    <x:row r="18">
      <x:c r="A18" s="174" t="s">
        <x:v>324</x:v>
      </x:c>
      <x:c r="B18" s="174" t="s">
        <x:v>335</x:v>
      </x:c>
      <x:c r="C18" s="174" t="s">
        <x:v>336</x:v>
      </x:c>
      <x:c r="D18" s="179" t="s">
        <x:v>327</x:v>
      </x:c>
      <x:c r="E18" s="44" t="s">
        <x:v>315</x:v>
      </x:c>
    </x:row>
    <x:row r="19">
      <x:c r="A19" s="174" t="s">
        <x:v>337</x:v>
      </x:c>
      <x:c r="B19" s="174" t="s">
        <x:v>338</x:v>
      </x:c>
      <x:c r="C19" s="174" t="s">
        <x:v>339</x:v>
      </x:c>
      <x:c r="D19" s="179" t="s">
        <x:v>340</x:v>
      </x:c>
      <x:c r="E19" s="44" t="s">
        <x:v>341</x:v>
      </x:c>
    </x:row>
    <x:row r="20">
      <x:c r="A20" s="174" t="s">
        <x:v>337</x:v>
      </x:c>
      <x:c r="B20" s="174" t="s">
        <x:v>342</x:v>
      </x:c>
      <x:c r="C20" s="174" t="s">
        <x:v>343</x:v>
      </x:c>
      <x:c r="D20" s="179" t="s">
        <x:v>340</x:v>
      </x:c>
      <x:c r="E20" s="44" t="s">
        <x:v>315</x:v>
      </x:c>
    </x:row>
    <x:row r="21" ht="15.75" customHeight="1">
      <x:c r="A21" s="174" t="s">
        <x:v>337</x:v>
      </x:c>
      <x:c r="B21" s="174" t="s">
        <x:v>344</x:v>
      </x:c>
      <x:c r="C21" s="174" t="s">
        <x:v>345</x:v>
      </x:c>
      <x:c r="D21" s="179" t="s">
        <x:v>340</x:v>
      </x:c>
      <x:c r="E21" s="44" t="s">
        <x:v>346</x:v>
      </x:c>
    </x:row>
    <x:row r="22" ht="15.75" customHeight="1">
      <x:c r="A22" s="174" t="s">
        <x:v>337</x:v>
      </x:c>
      <x:c r="B22" s="174" t="s">
        <x:v>347</x:v>
      </x:c>
      <x:c r="C22" s="174" t="s">
        <x:v>348</x:v>
      </x:c>
      <x:c r="D22" s="179" t="s">
        <x:v>340</x:v>
      </x:c>
      <x:c r="E22" s="44" t="s">
        <x:v>346</x:v>
      </x:c>
    </x:row>
    <x:row r="23" ht="15.75" customHeight="1">
      <x:c r="A23" s="174" t="s">
        <x:v>349</x:v>
      </x:c>
      <x:c r="B23" s="174" t="s">
        <x:v>350</x:v>
      </x:c>
      <x:c r="C23" s="174" t="s">
        <x:v>351</x:v>
      </x:c>
      <x:c r="D23" s="179" t="s">
        <x:v>352</x:v>
      </x:c>
      <x:c r="E23" s="44" t="s">
        <x:v>353</x:v>
      </x:c>
    </x:row>
    <x:row r="24" ht="15.75" customHeight="1">
      <x:c r="A24" s="174" t="s">
        <x:v>354</x:v>
      </x:c>
      <x:c r="B24" s="174" t="s">
        <x:v>355</x:v>
      </x:c>
      <x:c r="C24" s="174" t="s">
        <x:v>356</x:v>
      </x:c>
      <x:c r="D24" s="179" t="s">
        <x:v>357</x:v>
      </x:c>
      <x:c r="E24" s="44" t="s">
        <x:v>358</x:v>
      </x:c>
    </x:row>
    <x:row r="25" ht="15.75" customHeight="1">
      <x:c r="A25" s="174" t="s">
        <x:v>354</x:v>
      </x:c>
      <x:c r="B25" s="174" t="s">
        <x:v>359</x:v>
      </x:c>
      <x:c r="C25" s="174" t="s">
        <x:v>360</x:v>
      </x:c>
      <x:c r="D25" s="179" t="s">
        <x:v>357</x:v>
      </x:c>
      <x:c r="E25" s="44" t="s">
        <x:v>361</x:v>
      </x:c>
    </x:row>
    <x:row r="26" ht="15.75" customHeight="1">
      <x:c r="A26" s="174" t="s">
        <x:v>354</x:v>
      </x:c>
      <x:c r="B26" s="174" t="s">
        <x:v>362</x:v>
      </x:c>
      <x:c r="C26" s="174" t="s">
        <x:v>363</x:v>
      </x:c>
      <x:c r="D26" s="179" t="s">
        <x:v>309</x:v>
      </x:c>
      <x:c r="E26" s="44" t="s">
        <x:v>364</x:v>
      </x:c>
    </x:row>
    <x:row r="27" ht="15.75" customHeight="1">
      <x:c r="A27" s="174" t="s">
        <x:v>365</x:v>
      </x:c>
      <x:c r="B27" s="174" t="s">
        <x:v>366</x:v>
      </x:c>
      <x:c r="C27" s="174" t="s">
        <x:v>367</x:v>
      </x:c>
      <x:c r="D27" s="179" t="s">
        <x:v>368</x:v>
      </x:c>
      <x:c r="E27" s="44" t="s">
        <x:v>369</x:v>
      </x:c>
    </x:row>
    <x:row r="28" ht="15.75" customHeight="1">
      <x:c r="A28" s="174" t="s">
        <x:v>365</x:v>
      </x:c>
      <x:c r="B28" s="174" t="s">
        <x:v>370</x:v>
      </x:c>
      <x:c r="C28" s="174" t="s">
        <x:v>371</x:v>
      </x:c>
      <x:c r="D28" s="179" t="s">
        <x:v>368</x:v>
      </x:c>
      <x:c r="E28" s="44" t="s">
        <x:v>369</x:v>
      </x:c>
    </x:row>
    <x:row r="29" ht="15.75" customHeight="1">
      <x:c r="A29" s="174" t="s">
        <x:v>365</x:v>
      </x:c>
      <x:c r="B29" s="174" t="s">
        <x:v>372</x:v>
      </x:c>
      <x:c r="C29" s="174" t="s">
        <x:v>373</x:v>
      </x:c>
      <x:c r="D29" s="179" t="s">
        <x:v>374</x:v>
      </x:c>
      <x:c r="E29" s="44" t="s">
        <x:v>375</x:v>
      </x:c>
    </x:row>
    <x:row r="30" ht="15.75" customHeight="1">
      <x:c r="A30" s="174" t="s">
        <x:v>365</x:v>
      </x:c>
      <x:c r="B30" s="174" t="s">
        <x:v>376</x:v>
      </x:c>
      <x:c r="C30" s="174" t="s">
        <x:v>377</x:v>
      </x:c>
      <x:c r="D30" s="179" t="s">
        <x:v>378</x:v>
      </x:c>
      <x:c r="E30" s="44" t="s">
        <x:v>379</x:v>
      </x:c>
    </x:row>
    <x:row r="31" ht="15.75" customHeight="1">
      <x:c r="A31" s="174" t="s">
        <x:v>365</x:v>
      </x:c>
      <x:c r="B31" s="174" t="s">
        <x:v>380</x:v>
      </x:c>
      <x:c r="C31" s="174" t="s">
        <x:v>381</x:v>
      </x:c>
      <x:c r="D31" s="179" t="s">
        <x:v>382</x:v>
      </x:c>
      <x:c r="E31" s="44" t="s">
        <x:v>379</x:v>
      </x:c>
    </x:row>
    <x:row r="32" ht="15.75" customHeight="1">
      <x:c r="A32" s="174" t="s">
        <x:v>365</x:v>
      </x:c>
      <x:c r="B32" s="174" t="s">
        <x:v>383</x:v>
      </x:c>
      <x:c r="C32" s="174" t="s">
        <x:v>384</x:v>
      </x:c>
      <x:c r="D32" s="179" t="s">
        <x:v>378</x:v>
      </x:c>
      <x:c r="E32" s="44" t="s">
        <x:v>385</x:v>
      </x:c>
    </x:row>
    <x:row r="33" ht="15.75" customHeight="1">
      <x:c r="A33" s="174" t="s">
        <x:v>365</x:v>
      </x:c>
      <x:c r="B33" s="174" t="s">
        <x:v>386</x:v>
      </x:c>
      <x:c r="C33" s="174" t="s">
        <x:v>387</x:v>
      </x:c>
      <x:c r="D33" s="179" t="s">
        <x:v>388</x:v>
      </x:c>
      <x:c r="E33" s="44" t="s">
        <x:v>385</x:v>
      </x:c>
    </x:row>
    <x:row r="34" ht="15.75" customHeight="1">
      <x:c r="A34" s="174" t="s">
        <x:v>365</x:v>
      </x:c>
      <x:c r="B34" s="174" t="s">
        <x:v>389</x:v>
      </x:c>
      <x:c r="C34" s="174" t="s">
        <x:v>390</x:v>
      </x:c>
      <x:c r="D34" s="179" t="s">
        <x:v>391</x:v>
      </x:c>
      <x:c r="E34" s="44" t="s">
        <x:v>392</x:v>
      </x:c>
    </x:row>
    <x:row r="35" ht="15.75" customHeight="1">
      <x:c r="A35" s="174" t="s">
        <x:v>393</x:v>
      </x:c>
      <x:c r="B35" s="174" t="s">
        <x:v>394</x:v>
      </x:c>
      <x:c r="C35" s="174" t="s">
        <x:v>395</x:v>
      </x:c>
      <x:c r="D35" s="179" t="s">
        <x:v>396</x:v>
      </x:c>
      <x:c r="E35" s="44" t="s">
        <x:v>397</x:v>
      </x:c>
    </x:row>
    <x:row r="36" ht="15.75" customHeight="1">
      <x:c r="A36" s="174" t="s">
        <x:v>393</x:v>
      </x:c>
      <x:c r="B36" s="174" t="s">
        <x:v>398</x:v>
      </x:c>
      <x:c r="C36" s="174" t="s">
        <x:v>399</x:v>
      </x:c>
      <x:c r="D36" s="179" t="s">
        <x:v>396</x:v>
      </x:c>
      <x:c r="E36" s="44" t="s">
        <x:v>400</x:v>
      </x:c>
    </x:row>
    <x:row r="37" ht="15.75" customHeight="1">
      <x:c r="A37" s="174" t="s">
        <x:v>393</x:v>
      </x:c>
      <x:c r="B37" s="174" t="s">
        <x:v>401</x:v>
      </x:c>
      <x:c r="C37" s="174" t="s">
        <x:v>402</x:v>
      </x:c>
      <x:c r="D37" s="179" t="s">
        <x:v>396</x:v>
      </x:c>
      <x:c r="E37" s="44" t="s">
        <x:v>403</x:v>
      </x:c>
    </x:row>
    <x:row r="38" ht="15.75" customHeight="1">
      <x:c r="A38" s="174" t="s">
        <x:v>393</x:v>
      </x:c>
      <x:c r="B38" s="174" t="s">
        <x:v>404</x:v>
      </x:c>
      <x:c r="C38" s="174" t="s">
        <x:v>405</x:v>
      </x:c>
      <x:c r="D38" s="179" t="s">
        <x:v>213</x:v>
      </x:c>
      <x:c r="E38" s="44" t="s">
        <x:v>400</x:v>
      </x:c>
    </x:row>
    <x:row r="39" ht="15.75" customHeight="1">
      <x:c r="A39" s="174" t="s">
        <x:v>393</x:v>
      </x:c>
      <x:c r="B39" s="174" t="s">
        <x:v>406</x:v>
      </x:c>
      <x:c r="C39" s="174" t="s">
        <x:v>407</x:v>
      </x:c>
      <x:c r="D39" s="179" t="s">
        <x:v>408</x:v>
      </x:c>
      <x:c r="E39" s="44" t="s">
        <x:v>409</x:v>
      </x:c>
    </x:row>
    <x:row r="40" ht="15.75" customHeight="1">
      <x:c r="A40" s="174" t="s">
        <x:v>393</x:v>
      </x:c>
      <x:c r="B40" s="174" t="s">
        <x:v>410</x:v>
      </x:c>
      <x:c r="C40" s="174" t="s">
        <x:v>411</x:v>
      </x:c>
      <x:c r="D40" s="179" t="s">
        <x:v>412</x:v>
      </x:c>
      <x:c r="E40" s="44" t="s">
        <x:v>413</x:v>
      </x:c>
    </x:row>
    <x:row r="41" ht="15.75" customHeight="1">
      <x:c r="A41" s="174" t="s">
        <x:v>393</x:v>
      </x:c>
      <x:c r="B41" s="174" t="s">
        <x:v>414</x:v>
      </x:c>
      <x:c r="C41" s="174" t="s">
        <x:v>415</x:v>
      </x:c>
      <x:c r="D41" s="179" t="s">
        <x:v>416</x:v>
      </x:c>
      <x:c r="E41" s="44" t="s">
        <x:v>417</x:v>
      </x:c>
    </x:row>
    <x:row r="42" ht="15.75" customHeight="1">
      <x:c r="A42" s="94"/>
      <x:c r="B42" s="94"/>
      <x:c r="C42" s="94"/>
      <x:c r="D42" s="121"/>
    </x:row>
    <x:row r="43" ht="15.75" customHeight="1">
      <x:c r="A43" s="93" t="s">
        <x:v>418</x:v>
      </x:c>
      <x:c r="B43" s="94"/>
      <x:c r="C43" s="94"/>
      <x:c r="D43" s="121"/>
    </x:row>
    <x:row r="44" ht="15.75" customHeight="1">
      <x:c r="A44" s="94"/>
      <x:c r="B44" s="94"/>
      <x:c r="C44" s="94"/>
      <x:c r="D44" s="121"/>
    </x:row>
    <x:row r="45" ht="25" customHeight="1">
      <x:c r="A45" s="113" t="str">
        <x:v>GIÁ DÙNG CHO RAV-26 — KIỂM TRA NGÀY 08/10/2026</x:v>
      </x:c>
      <x:c r="B45" s="113" t="str">
        <x:v>GIÁ DÙNG CHO RAV-26 — KIỂM TRA NGÀY 08/10/2026</x:v>
      </x:c>
      <x:c r="C45" s="113" t="str">
        <x:v>GIÁ DÙNG CHO RAV-26 — KIỂM TRA NGÀY 08/10/2026</x:v>
      </x:c>
      <x:c r="D45" s="124" t="str">
        <x:v>GIÁ DÙNG CHO RAV-26 — KIỂM TRA NGÀY 08/10/2026</x:v>
      </x:c>
    </x:row>
    <x:row r="46" ht="15.75" customHeight="1">
      <x:c r="A46" s="94" t="str">
        <x:v>Hạng mục</x:v>
      </x:c>
      <x:c r="B46" s="94" t="str">
        <x:v>Giá trị số</x:v>
      </x:c>
      <x:c r="C46" s="94" t="str">
        <x:v>Đơn vị</x:v>
      </x:c>
      <x:c r="D46" s="121" t="str">
        <x:v>Nguồn và điều kiện</x:v>
      </x:c>
    </x:row>
    <x:row r="47" ht="48" customHeight="1">
      <x:c r="A47" s="175" t="str">
        <x:v>Modal L4</x:v>
      </x:c>
      <x:c r="B47" s="187" t="n">
        <x:v>0.000222</x:v>
      </x:c>
      <x:c r="C47" s="180" t="str">
        <x:v>USD/GPU-giây</x:v>
      </x:c>
      <x:c r="D47" s="180" t="str">
        <x:v>https://modal.com/pricing — list; không trừ credits</x:v>
      </x:c>
    </x:row>
    <x:row r="48" ht="48" customHeight="1">
      <x:c r="A48" s="175" t="str">
        <x:v>Modal Functions CPU</x:v>
      </x:c>
      <x:c r="B48" s="187" t="n">
        <x:v>0.0000131</x:v>
      </x:c>
      <x:c r="C48" s="180" t="str">
        <x:v>USD/core-giây</x:v>
      </x:c>
      <x:c r="D48" s="180" t="str">
        <x:v>https://modal.com/pricing — physical core, không phải Sandbox</x:v>
      </x:c>
    </x:row>
    <x:row r="49" ht="48" customHeight="1">
      <x:c r="A49" s="175" t="str">
        <x:v>Modal Functions memory</x:v>
      </x:c>
      <x:c r="B49" s="187" t="n">
        <x:v>0.00000222</x:v>
      </x:c>
      <x:c r="C49" s="180" t="str">
        <x:v>USD/GiB-giây</x:v>
      </x:c>
      <x:c r="D49" s="180" t="str">
        <x:v>https://modal.com/pricing — không phải Sandbox</x:v>
      </x:c>
    </x:row>
    <x:row r="50" ht="48" customHeight="1">
      <x:c r="A50" s="175" t="str">
        <x:v>Modal Volumes</x:v>
      </x:c>
      <x:c r="B50" s="176" t="n">
        <x:v>0.09</x:v>
      </x:c>
      <x:c r="C50" s="180" t="str">
        <x:v>USD/GiB-tháng</x:v>
      </x:c>
      <x:c r="D50" s="180" t="str">
        <x:v>https://modal.com/pricing — dự phòng gross list; không trừ 1 TiB miễn phí</x:v>
      </x:c>
    </x:row>
    <x:row r="51" ht="48" customHeight="1">
      <x:c r="A51" s="175" t="str">
        <x:v>Modal network egress</x:v>
      </x:c>
      <x:c r="B51" s="176" t="n">
        <x:v>0.04</x:v>
      </x:c>
      <x:c r="C51" s="180" t="str">
        <x:v>USD/GiB</x:v>
      </x:c>
      <x:c r="D51" s="180" t="str">
        <x:v>https://modal.com/pricing — không trừ allowance; không nhân hệ số vùng</x:v>
      </x:c>
    </x:row>
    <x:row r="52" ht="48" customHeight="1">
      <x:c r="A52" s="175" t="str">
        <x:v>Modal Team</x:v>
      </x:c>
      <x:c r="B52" s="186" t="n">
        <x:v>250</x:v>
      </x:c>
      <x:c r="C52" s="180" t="str">
        <x:v>USD/tháng</x:v>
      </x:c>
      <x:c r="D52" s="180" t="str">
        <x:v>https://modal.com/pricing — phân bổ toàn bộ cho một khách; không trừ credits</x:v>
      </x:c>
    </x:row>
    <x:row r="53" ht="48" customHeight="1">
      <x:c r="A53" s="175" t="str">
        <x:v>FX Vietcombank USD bán</x:v>
      </x:c>
      <x:c r="B53" s="186" t="n">
        <x:v>26100</x:v>
      </x:c>
      <x:c r="C53" s="180" t="str">
        <x:v>VND/USD</x:v>
      </x:c>
      <x:c r="D53" s="180" t="str">
        <x:v>https://portal.vietcombank.com.vn/Usercontrols/TVPortal.TyGia/pXML.aspx — 08/10/2026 19:11:46</x:v>
      </x:c>
    </x:row>
    <x:row r="54" ht="48" customHeight="1">
      <x:c r="A54" s="175" t="str">
        <x:v>ICONIQ Mid-market/Enterprise CPO</x:v>
      </x:c>
      <x:c r="B54" s="186" t="n">
        <x:v>8000</x:v>
      </x:c>
      <x:c r="C54" s="180" t="str">
        <x:v>USD/opportunity</x:v>
      </x:c>
      <x:c r="D54" s="180" t="str">
        <x:v>https://www.iconiq.com/growth/reports/state-of-go-to-market-2026 — PDF tr.22; Strategic là 11.200</x:v>
      </x:c>
    </x:row>
    <x:row r="55" ht="48" customHeight="1">
      <x:c r="A55" s="175" t="str">
        <x:v>Hệ số region upper bound</x:v>
      </x:c>
      <x:c r="B55" s="176" t="n">
        <x:v>1.75</x:v>
      </x:c>
      <x:c r="C55" s="180" t="str">
        <x:v>lần</x:v>
      </x:c>
      <x:c r="D55" s="180" t="str">
        <x:v>https://modal.com/pricing — range 1,15–1,75x; giả định áp dụng 1,75 cho compute</x:v>
      </x:c>
    </x:row>
    <x:row r="56" ht="48" customHeight="1">
      <x:c r="A56" s="175" t="str">
        <x:v>Roboflow Core monthly</x:v>
      </x:c>
      <x:c r="B56" s="176" t="n">
        <x:v>39</x:v>
      </x:c>
      <x:c r="C56" s="180" t="str">
        <x:v>USD/tháng</x:v>
      </x:c>
      <x:c r="D56" s="180" t="str">
        <x:v>https://roboflow.com/pricing — 20 credits tổng; Enterprise báo giá riêng</x:v>
      </x:c>
    </x:row>
    <x:row r="57" ht="48" customHeight="1">
      <x:c r="A57" s="175" t="str">
        <x:v>Roboflow flex credit</x:v>
      </x:c>
      <x:c r="B57" s="176" t="n">
        <x:v>6</x:v>
      </x:c>
      <x:c r="C57" s="180" t="str">
        <x:v>USD/credit</x:v>
      </x:c>
      <x:c r="D57" s="180" t="str">
        <x:v>https://roboflow.com/pricing — on-demand; rates có thể thay đổi</x:v>
      </x:c>
    </x:row>
    <x:row r="58" ht="48" customHeight="1">
      <x:c r="A58" s="175" t="str">
        <x:v>Roboflow AI auto labeling</x:v>
      </x:c>
      <x:c r="B58" s="176" t="n">
        <x:v>1000</x:v>
      </x:c>
      <x:c r="C58" s="180" t="str">
        <x:v>ảnh/credit</x:v>
      </x:c>
      <x:c r="D58" s="180" t="str">
        <x:v>https://roboflow.com/credits — cập nhật 02/10/2026; job liền kề, không tương đương curation</x:v>
      </x:c>
    </x:row>
    <x:row r="59" ht="48" customHeight="1">
      <x:c r="A59" s="175" t="str">
        <x:v>Encord Enterprise</x:v>
      </x:c>
      <x:c r="B59" s="177" t="str">
        <x:v>Báo giá riêng</x:v>
      </x:c>
      <x:c r="C59" s="180" t="str">
        <x:v>không công bố đơn giá</x:v>
      </x:c>
      <x:c r="D59" s="180" t="str">
        <x:v>https://encord.com/pricing/ — volume-tier platform; liên hệ sales</x:v>
      </x:c>
    </x:row>
    <x:row r="60" ht="15.75" customHeight="1">
      <x:c r="A60" s="94"/>
      <x:c r="B60" s="94"/>
      <x:c r="C60" s="94"/>
      <x:c r="D60" s="121"/>
    </x:row>
    <x:row r="61" ht="50" customHeight="1">
      <x:c r="A61" s="54" t="str">
        <x:v>Chỉ các dòng 47–59 được mở và kiểm tra cho bài này. Giá mẫu ở dòng 5–41 giữ nguyên, chưa kiểm tra lại và KHÔNG dùng làm chi phí RAV-26. Không giả định có khuyến mại hay giảm Batch 50% cho GPU.</x:v>
      </x:c>
      <x:c r="B61" s="54" t="str">
        <x:v>Chỉ các dòng 47–59 được mở và kiểm tra cho bài này. Giá mẫu ở dòng 5–41 giữ nguyên, chưa kiểm tra lại và KHÔNG dùng làm chi phí RAV-26. Không giả định có khuyến mại hay giảm Batch 50% cho GPU.</x:v>
      </x:c>
      <x:c r="C61" s="54" t="str">
        <x:v>Chỉ các dòng 47–59 được mở và kiểm tra cho bài này. Giá mẫu ở dòng 5–41 giữ nguyên, chưa kiểm tra lại và KHÔNG dùng làm chi phí RAV-26. Không giả định có khuyến mại hay giảm Batch 50% cho GPU.</x:v>
      </x:c>
      <x:c r="D61" s="54" t="str">
        <x:v>Chỉ các dòng 47–59 được mở và kiểm tra cho bài này. Giá mẫu ở dòng 5–41 giữ nguyên, chưa kiểm tra lại và KHÔNG dùng làm chi phí RAV-26. Không giả định có khuyến mại hay giảm Batch 50% cho GPU.</x:v>
      </x:c>
    </x:row>
    <x:row r="62" ht="50" customHeight="1">
      <x:c r="A62" s="54" t="str">
        <x:v>Nguồn sản phẩm: thông tin người dùng ngày 08/10/2026. Repo P-026 trả 404 với kết nối hiện có; chưa kiểm chứng độc lập test report, kiến trúc hay model license. Modal là phương án pilot giả định, không phải stack đã xác nhận.</x:v>
      </x:c>
      <x:c r="B62" s="54" t="str">
        <x:v>Nguồn sản phẩm: thông tin người dùng ngày 08/10/2026. Repo P-026 trả 404 với kết nối hiện có; chưa kiểm chứng độc lập test report, kiến trúc hay model license. Modal là phương án pilot giả định, không phải stack đã xác nhận.</x:v>
      </x:c>
      <x:c r="C62" s="54" t="str">
        <x:v>Nguồn sản phẩm: thông tin người dùng ngày 08/10/2026. Repo P-026 trả 404 với kết nối hiện có; chưa kiểm chứng độc lập test report, kiến trúc hay model license. Modal là phương án pilot giả định, không phải stack đã xác nhận.</x:v>
      </x:c>
      <x:c r="D62" s="54" t="str">
        <x:v>Nguồn sản phẩm: thông tin người dùng ngày 08/10/2026. Repo P-026 trả 404 với kết nối hiện có; chưa kiểm chứng độc lập test report, kiến trúc hay model license. Modal là phương án pilot giả định, không phải stack đã xác nhận.</x:v>
      </x:c>
    </x:row>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45:D45"/>
    <x:mergeCell ref="A61:D61"/>
    <x:mergeCell ref="A62:D62"/>
  </x:mergeCells>
  <x:pageMargins left="0.7" right="0.7" top="0.75" bottom="0.75" header="0.3" footer="0.3"/>
</x:worksheet>
</file>